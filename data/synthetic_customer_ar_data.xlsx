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 S E R\Downloads\"/>
    </mc:Choice>
  </mc:AlternateContent>
  <xr:revisionPtr revIDLastSave="0" documentId="13_ncr:1_{DD199509-62D2-4AB2-B9C4-29DCF0D477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_Data" sheetId="1" r:id="rId1"/>
    <sheet name="Controls" sheetId="2" r:id="rId2"/>
  </sheets>
  <definedNames>
    <definedName name="_xlnm._FilterDatabase" localSheetId="0" hidden="1">AR_Data!$A$1:$H$1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2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Days past due as of Controls!B2. Paid invoices show 0.</t>
        </r>
      </text>
    </comment>
    <comment ref="H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Bucket derived from Aging Days.</t>
        </r>
      </text>
    </comment>
  </commentList>
</comments>
</file>

<file path=xl/sharedStrings.xml><?xml version="1.0" encoding="utf-8"?>
<sst xmlns="http://schemas.openxmlformats.org/spreadsheetml/2006/main" count="913" uniqueCount="469">
  <si>
    <t>Customer Name</t>
  </si>
  <si>
    <t>Customer Email</t>
  </si>
  <si>
    <t>Invoice Amount</t>
  </si>
  <si>
    <t>Issue Date</t>
  </si>
  <si>
    <t>Due Date</t>
  </si>
  <si>
    <t>Aging Days</t>
  </si>
  <si>
    <t>Aging Bucket</t>
  </si>
  <si>
    <t>Cedar Packaging Holdings</t>
  </si>
  <si>
    <t>ar@cedarpackagingholdings.example.com</t>
  </si>
  <si>
    <t>INV-2026-10001</t>
  </si>
  <si>
    <t>Delta Pharma Holdings</t>
  </si>
  <si>
    <t>ar@deltapharmaholdings.example.com</t>
  </si>
  <si>
    <t>INV-2026-10002</t>
  </si>
  <si>
    <t>Lumen Pharma Ltd</t>
  </si>
  <si>
    <t>ar@lumenpharmaltd.example.com</t>
  </si>
  <si>
    <t>INV-2026-10003</t>
  </si>
  <si>
    <t>Delta Supplies LLC</t>
  </si>
  <si>
    <t>ar@deltasuppliesllc.example.com</t>
  </si>
  <si>
    <t>INV-2026-10004</t>
  </si>
  <si>
    <t>Blue Motors LLC</t>
  </si>
  <si>
    <t>ar@bluemotorsllc.example.com</t>
  </si>
  <si>
    <t>INV-2026-10005</t>
  </si>
  <si>
    <t>Everest Packaging Co.</t>
  </si>
  <si>
    <t>ar@everestpackagingco.example.com</t>
  </si>
  <si>
    <t>INV-2026-10006</t>
  </si>
  <si>
    <t>Everest Motors Pvt Ltd</t>
  </si>
  <si>
    <t>ar@everestmotorspvtltd.example.com</t>
  </si>
  <si>
    <t>INV-2026-10007</t>
  </si>
  <si>
    <t>Summit Builders Inc</t>
  </si>
  <si>
    <t>ar@summitbuildersinc.example.com</t>
  </si>
  <si>
    <t>INV-2026-10008</t>
  </si>
  <si>
    <t>Keystone Health Holdings</t>
  </si>
  <si>
    <t>ar@keystonehealthholdings.example.com</t>
  </si>
  <si>
    <t>Lumen Retail LLC</t>
  </si>
  <si>
    <t>ar@lumenretailllc.example.com</t>
  </si>
  <si>
    <t>INV-2026-10010</t>
  </si>
  <si>
    <t>Acorn Labs Inc</t>
  </si>
  <si>
    <t>ar@acornlabsinc.example.com</t>
  </si>
  <si>
    <t>INV-2026-10011</t>
  </si>
  <si>
    <t>Delta Supplies Group</t>
  </si>
  <si>
    <t>ar@deltasuppliesgroup.example.com</t>
  </si>
  <si>
    <t>INV-2026-10012</t>
  </si>
  <si>
    <t>Delta Retail Inc</t>
  </si>
  <si>
    <t>ar@deltaretailinc.example.com</t>
  </si>
  <si>
    <t>INV-2026-10013</t>
  </si>
  <si>
    <t>Titan Health Holdings</t>
  </si>
  <si>
    <t>ar@titanhealthholdings.example.com</t>
  </si>
  <si>
    <t>INV-2026-10014</t>
  </si>
  <si>
    <t>Everest Solutions LLC</t>
  </si>
  <si>
    <t>ar@everestsolutionsllc.example.com</t>
  </si>
  <si>
    <t>INV-2026-10015</t>
  </si>
  <si>
    <t>Keystone Textiles Holdings</t>
  </si>
  <si>
    <t>ar@keystonetextilesholdings.example.com</t>
  </si>
  <si>
    <t>INV-2026-10016</t>
  </si>
  <si>
    <t>River Solutions Co.</t>
  </si>
  <si>
    <t>ar@riversolutionsco.example.com</t>
  </si>
  <si>
    <t>INV-2026-10017</t>
  </si>
  <si>
    <t>Willow Travel Co.</t>
  </si>
  <si>
    <t>ar@willowtravelco.example.com</t>
  </si>
  <si>
    <t>INV-2026-10018</t>
  </si>
  <si>
    <t>Titan Retail Ltd</t>
  </si>
  <si>
    <t>ar@titanretailltd.example.com</t>
  </si>
  <si>
    <t>INV-2026-10019</t>
  </si>
  <si>
    <t>Acorn Media Co.</t>
  </si>
  <si>
    <t>ar@acornmediaco.example.com</t>
  </si>
  <si>
    <t>INV-2026-10020</t>
  </si>
  <si>
    <t>INV-2026-10021</t>
  </si>
  <si>
    <t>INV-2026-10022</t>
  </si>
  <si>
    <t>Jade Energy Co.</t>
  </si>
  <si>
    <t>ar@jadeenergyco.example.com</t>
  </si>
  <si>
    <t>INV-2026-10023</t>
  </si>
  <si>
    <t>Orion Labs Holdings</t>
  </si>
  <si>
    <t>ar@orionlabsholdings.example.com</t>
  </si>
  <si>
    <t>INV-2026-10024</t>
  </si>
  <si>
    <t>INV-2026-10025</t>
  </si>
  <si>
    <t>River Textiles Group</t>
  </si>
  <si>
    <t>ar@rivertextilesgroup.example.com</t>
  </si>
  <si>
    <t>INV-2026-10026</t>
  </si>
  <si>
    <t>River Pharma Co.</t>
  </si>
  <si>
    <t>ar@riverpharmaco.example.com</t>
  </si>
  <si>
    <t>INV-2026-10027</t>
  </si>
  <si>
    <t>INV-2026-10028</t>
  </si>
  <si>
    <t>Quantum Travel Inc</t>
  </si>
  <si>
    <t>ar@quantumtravelinc.example.com</t>
  </si>
  <si>
    <t>INV-2026-10029</t>
  </si>
  <si>
    <t>INV-2026-10030</t>
  </si>
  <si>
    <t>Pioneer Logistics Pvt Ltd</t>
  </si>
  <si>
    <t>ar@pioneerlogisticspvtltd.example.com</t>
  </si>
  <si>
    <t>INV-2026-10031</t>
  </si>
  <si>
    <t>Falcon Trading Ltd</t>
  </si>
  <si>
    <t>ar@falcontradingltd.example.com</t>
  </si>
  <si>
    <t>INV-2026-10032</t>
  </si>
  <si>
    <t>Summit Media Ltd</t>
  </si>
  <si>
    <t>ar@summitmedialtd.example.com</t>
  </si>
  <si>
    <t>INV-2026-10033</t>
  </si>
  <si>
    <t>Everest Foods Inc</t>
  </si>
  <si>
    <t>ar@everestfoodsinc.example.com</t>
  </si>
  <si>
    <t>INV-2026-10034</t>
  </si>
  <si>
    <t>INV-2026-10035</t>
  </si>
  <si>
    <t>Nimbus Logistics Ltd</t>
  </si>
  <si>
    <t>ar@nimbuslogisticsltd.example.com</t>
  </si>
  <si>
    <t>INV-2026-10036</t>
  </si>
  <si>
    <t>INV-2026-10037</t>
  </si>
  <si>
    <t>Blue Foods Corp.</t>
  </si>
  <si>
    <t>ar@bluefoodscorp.example.com</t>
  </si>
  <si>
    <t>INV-2026-10038</t>
  </si>
  <si>
    <t>Pioneer Electronics LLC</t>
  </si>
  <si>
    <t>ar@pioneerelectronicsllc.example.com</t>
  </si>
  <si>
    <t>INV-2026-10039</t>
  </si>
  <si>
    <t>Jade Foods Inc</t>
  </si>
  <si>
    <t>ar@jadefoodsinc.example.com</t>
  </si>
  <si>
    <t>INV-2026-10040</t>
  </si>
  <si>
    <t>INV-2026-10041</t>
  </si>
  <si>
    <t>Keystone Media Holdings</t>
  </si>
  <si>
    <t>ar@keystonemediaholdings.example.com</t>
  </si>
  <si>
    <t>INV-2026-10042</t>
  </si>
  <si>
    <t>INV-2026-10043</t>
  </si>
  <si>
    <t>Ion Labs Group</t>
  </si>
  <si>
    <t>ar@ionlabsgroup.example.com</t>
  </si>
  <si>
    <t>INV-2026-10044</t>
  </si>
  <si>
    <t>Summit Builders Holdings</t>
  </si>
  <si>
    <t>ar@summitbuildersholdings.example.com</t>
  </si>
  <si>
    <t>INV-2026-10045</t>
  </si>
  <si>
    <t>Falcon Health Pvt Ltd</t>
  </si>
  <si>
    <t>ar@falconhealthpvtltd.example.com</t>
  </si>
  <si>
    <t>INV-2026-10046</t>
  </si>
  <si>
    <t>INV-2026-10047</t>
  </si>
  <si>
    <t>INV-2026-10048</t>
  </si>
  <si>
    <t>INV-2026-10049</t>
  </si>
  <si>
    <t>Cedar Electronics Holdings</t>
  </si>
  <si>
    <t>ar@cedarelectronicsholdings.example.com</t>
  </si>
  <si>
    <t>INV-2026-10050</t>
  </si>
  <si>
    <t>Falcon Motors Ltd</t>
  </si>
  <si>
    <t>ar@falconmotorsltd.example.com</t>
  </si>
  <si>
    <t>INV-2026-10051</t>
  </si>
  <si>
    <t>INV-2026-10052</t>
  </si>
  <si>
    <t>Nimbus Foods Pvt Ltd</t>
  </si>
  <si>
    <t>ar@nimbusfoodspvtltd.example.com</t>
  </si>
  <si>
    <t>INV-2026-10053</t>
  </si>
  <si>
    <t>INV-2026-10054</t>
  </si>
  <si>
    <t>INV-2026-10055</t>
  </si>
  <si>
    <t>INV-2026-10056</t>
  </si>
  <si>
    <t>Titan Industries Co.</t>
  </si>
  <si>
    <t>ar@titanindustriesco.example.com</t>
  </si>
  <si>
    <t>INV-2026-10057</t>
  </si>
  <si>
    <t>Zenith Builders Holdings</t>
  </si>
  <si>
    <t>ar@zenithbuildersholdings.example.com</t>
  </si>
  <si>
    <t>INV-2026-10058</t>
  </si>
  <si>
    <t>INV-2026-10059</t>
  </si>
  <si>
    <t>Summit Industries Corp.</t>
  </si>
  <si>
    <t>ar@summitindustriescorp.example.com</t>
  </si>
  <si>
    <t>INV-2026-10060</t>
  </si>
  <si>
    <t>Golden Trading Corp.</t>
  </si>
  <si>
    <t>ar@goldentradingcorp.example.com</t>
  </si>
  <si>
    <t>INV-2026-10061</t>
  </si>
  <si>
    <t>Orion Health Co.</t>
  </si>
  <si>
    <t>ar@orionhealthco.example.com</t>
  </si>
  <si>
    <t>INV-2026-10062</t>
  </si>
  <si>
    <t>INV-2026-10063</t>
  </si>
  <si>
    <t>Nimbus Textiles Ltd</t>
  </si>
  <si>
    <t>ar@nimbustextilesltd.example.com</t>
  </si>
  <si>
    <t>INV-2026-10064</t>
  </si>
  <si>
    <t>INV-2026-10065</t>
  </si>
  <si>
    <t>INV-2026-10067</t>
  </si>
  <si>
    <t>INV-2026-10068</t>
  </si>
  <si>
    <t>INV-2026-10069</t>
  </si>
  <si>
    <t>INV-2026-10070</t>
  </si>
  <si>
    <t>INV-2026-10071</t>
  </si>
  <si>
    <t>INV-2026-10072</t>
  </si>
  <si>
    <t>INV-2026-10073</t>
  </si>
  <si>
    <t>Maple Energy Holdings</t>
  </si>
  <si>
    <t>ar@mapleenergyholdings.example.com</t>
  </si>
  <si>
    <t>INV-2026-10074</t>
  </si>
  <si>
    <t>INV-2026-10075</t>
  </si>
  <si>
    <t>Jade Textiles Pvt Ltd</t>
  </si>
  <si>
    <t>ar@jadetextilespvtltd.example.com</t>
  </si>
  <si>
    <t>INV-2026-10076</t>
  </si>
  <si>
    <t>INV-2026-10077</t>
  </si>
  <si>
    <t>Maple Energy Corp.</t>
  </si>
  <si>
    <t>ar@mapleenergycorp.example.com</t>
  </si>
  <si>
    <t>INV-2026-10078</t>
  </si>
  <si>
    <t>Cedar Solutions Corp.</t>
  </si>
  <si>
    <t>ar@cedarsolutionscorp.example.com</t>
  </si>
  <si>
    <t>INV-2026-10079</t>
  </si>
  <si>
    <t>INV-2026-10080</t>
  </si>
  <si>
    <t>INV-2026-10081</t>
  </si>
  <si>
    <t>INV-2026-10082</t>
  </si>
  <si>
    <t>Keystone Media Group</t>
  </si>
  <si>
    <t>ar@keystonemediagroup.example.com</t>
  </si>
  <si>
    <t>INV-2026-10083</t>
  </si>
  <si>
    <t>INV-2026-10084</t>
  </si>
  <si>
    <t>INV-2026-10085</t>
  </si>
  <si>
    <t>Everest Travel Group</t>
  </si>
  <si>
    <t>ar@everesttravelgroup.example.com</t>
  </si>
  <si>
    <t>INV-2026-10086</t>
  </si>
  <si>
    <t>INV-2026-10087</t>
  </si>
  <si>
    <t>INV-2026-10088</t>
  </si>
  <si>
    <t>Ion Builders LLC</t>
  </si>
  <si>
    <t>ar@ionbuildersllc.example.com</t>
  </si>
  <si>
    <t>INV-2026-10089</t>
  </si>
  <si>
    <t>INV-2026-10090</t>
  </si>
  <si>
    <t>INV-2026-10091</t>
  </si>
  <si>
    <t>INV-2026-10092</t>
  </si>
  <si>
    <t>INV-2026-10093</t>
  </si>
  <si>
    <t>INV-2026-10094</t>
  </si>
  <si>
    <t>Pioneer Solutions Corp.</t>
  </si>
  <si>
    <t>ar@pioneersolutionscorp.example.com</t>
  </si>
  <si>
    <t>INV-2026-10095</t>
  </si>
  <si>
    <t>INV-2026-10096</t>
  </si>
  <si>
    <t>Delta Industries Pvt Ltd</t>
  </si>
  <si>
    <t>ar@deltaindustriespvtltd.example.com</t>
  </si>
  <si>
    <t>INV-2026-10097</t>
  </si>
  <si>
    <t>Everest Hardware LLC</t>
  </si>
  <si>
    <t>ar@everesthardwarellc.example.com</t>
  </si>
  <si>
    <t>INV-2026-10098</t>
  </si>
  <si>
    <t>Quantum Builders Ltd</t>
  </si>
  <si>
    <t>ar@quantumbuildersltd.example.com</t>
  </si>
  <si>
    <t>INV-2026-10099</t>
  </si>
  <si>
    <t>INV-2026-10100</t>
  </si>
  <si>
    <t>Maple Solutions Group</t>
  </si>
  <si>
    <t>ar@maplesolutionsgroup.example.com</t>
  </si>
  <si>
    <t>INV-2026-10101</t>
  </si>
  <si>
    <t>Blue Consulting Ltd</t>
  </si>
  <si>
    <t>ar@blueconsultingltd.example.com</t>
  </si>
  <si>
    <t>INV-2026-10102</t>
  </si>
  <si>
    <t>INV-2026-10103</t>
  </si>
  <si>
    <t>INV-2026-10104</t>
  </si>
  <si>
    <t>INV-2026-10105</t>
  </si>
  <si>
    <t>INV-2026-10106</t>
  </si>
  <si>
    <t>INV-2026-10107</t>
  </si>
  <si>
    <t>INV-2026-10108</t>
  </si>
  <si>
    <t>INV-2026-10109</t>
  </si>
  <si>
    <t>INV-2026-10110</t>
  </si>
  <si>
    <t>INV-2026-10111</t>
  </si>
  <si>
    <t>Vertex Energy Pvt Ltd</t>
  </si>
  <si>
    <t>ar@vertexenergypvtltd.example.com</t>
  </si>
  <si>
    <t>INV-2026-10112</t>
  </si>
  <si>
    <t>INV-2026-10113</t>
  </si>
  <si>
    <t>INV-2026-10114</t>
  </si>
  <si>
    <t>Everest Travel Co.</t>
  </si>
  <si>
    <t>ar@everesttravelco.example.com</t>
  </si>
  <si>
    <t>INV-2026-10115</t>
  </si>
  <si>
    <t>INV-2026-10116</t>
  </si>
  <si>
    <t>INV-2026-10117</t>
  </si>
  <si>
    <t>INV-2026-10118</t>
  </si>
  <si>
    <t>INV-2026-10119</t>
  </si>
  <si>
    <t>Harbor Industries LLC</t>
  </si>
  <si>
    <t>ar@harborindustriesllc.example.com</t>
  </si>
  <si>
    <t>INV-2026-10120</t>
  </si>
  <si>
    <t>INV-2026-10121</t>
  </si>
  <si>
    <t>INV-2026-10122</t>
  </si>
  <si>
    <t>Golden Trading Co.</t>
  </si>
  <si>
    <t>ar@goldentradingco.example.com</t>
  </si>
  <si>
    <t>INV-2026-10123</t>
  </si>
  <si>
    <t>INV-2026-10124</t>
  </si>
  <si>
    <t>INV-2026-10125</t>
  </si>
  <si>
    <t>Golden Media Inc</t>
  </si>
  <si>
    <t>ar@goldenmediainc.example.com</t>
  </si>
  <si>
    <t>INV-2026-10126</t>
  </si>
  <si>
    <t>INV-2026-10127</t>
  </si>
  <si>
    <t>Cedar Motors Ltd</t>
  </si>
  <si>
    <t>ar@cedarmotorsltd.example.com</t>
  </si>
  <si>
    <t>INV-2026-10128</t>
  </si>
  <si>
    <t>INV-2026-10129</t>
  </si>
  <si>
    <t>INV-2026-10130</t>
  </si>
  <si>
    <t>INV-2026-10131</t>
  </si>
  <si>
    <t>INV-2026-10132</t>
  </si>
  <si>
    <t>INV-2026-10133</t>
  </si>
  <si>
    <t>INV-2026-10134</t>
  </si>
  <si>
    <t>INV-2026-10135</t>
  </si>
  <si>
    <t>Titan Foods Ltd</t>
  </si>
  <si>
    <t>ar@titanfoodsltd.example.com</t>
  </si>
  <si>
    <t>INV-2026-10136</t>
  </si>
  <si>
    <t>INV-2026-10137</t>
  </si>
  <si>
    <t>River Industries Co.</t>
  </si>
  <si>
    <t>ar@riverindustriesco.example.com</t>
  </si>
  <si>
    <t>INV-2026-10138</t>
  </si>
  <si>
    <t>INV-2026-10139</t>
  </si>
  <si>
    <t>INV-2026-10140</t>
  </si>
  <si>
    <t>INV-2026-10141</t>
  </si>
  <si>
    <t>INV-2026-10142</t>
  </si>
  <si>
    <t>INV-2026-10143</t>
  </si>
  <si>
    <t>INV-2026-10144</t>
  </si>
  <si>
    <t>INV-2026-10145</t>
  </si>
  <si>
    <t>Orion Solutions Corp.</t>
  </si>
  <si>
    <t>ar@orionsolutionscorp.example.com</t>
  </si>
  <si>
    <t>INV-2026-10146</t>
  </si>
  <si>
    <t>INV-2026-10147</t>
  </si>
  <si>
    <t>INV-2026-10148</t>
  </si>
  <si>
    <t>INV-2026-10149</t>
  </si>
  <si>
    <t>INV-2026-10150</t>
  </si>
  <si>
    <t>INV-2026-10151</t>
  </si>
  <si>
    <t>INV-2026-10152</t>
  </si>
  <si>
    <t>INV-2026-10153</t>
  </si>
  <si>
    <t>INV-2026-10154</t>
  </si>
  <si>
    <t>INV-2026-10155</t>
  </si>
  <si>
    <t>INV-2026-10156</t>
  </si>
  <si>
    <t>INV-2026-10157</t>
  </si>
  <si>
    <t>INV-2026-10158</t>
  </si>
  <si>
    <t>INV-2026-10159</t>
  </si>
  <si>
    <t>INV-2026-10160</t>
  </si>
  <si>
    <t>INV-2026-10161</t>
  </si>
  <si>
    <t>INV-2026-10162</t>
  </si>
  <si>
    <t>INV-2026-10163</t>
  </si>
  <si>
    <t>INV-2026-10164</t>
  </si>
  <si>
    <t>INV-2026-10165</t>
  </si>
  <si>
    <t>INV-2026-10166</t>
  </si>
  <si>
    <t>INV-2026-10167</t>
  </si>
  <si>
    <t>INV-2026-10168</t>
  </si>
  <si>
    <t>INV-2026-10169</t>
  </si>
  <si>
    <t>INV-2026-10170</t>
  </si>
  <si>
    <t>INV-2026-10171</t>
  </si>
  <si>
    <t>Golden Hardware Holdings</t>
  </si>
  <si>
    <t>ar@goldenhardwareholdings.example.com</t>
  </si>
  <si>
    <t>INV-2026-10172</t>
  </si>
  <si>
    <t>INV-2026-10173</t>
  </si>
  <si>
    <t>INV-2026-10174</t>
  </si>
  <si>
    <t>INV-2026-10175</t>
  </si>
  <si>
    <t>INV-2026-10176</t>
  </si>
  <si>
    <t>INV-2026-10177</t>
  </si>
  <si>
    <t>INV-2026-10178</t>
  </si>
  <si>
    <t>INV-2026-10179</t>
  </si>
  <si>
    <t>INV-2026-10180</t>
  </si>
  <si>
    <t>INV-2026-10181</t>
  </si>
  <si>
    <t>INV-2026-10182</t>
  </si>
  <si>
    <t>INV-2026-10183</t>
  </si>
  <si>
    <t>INV-2026-10184</t>
  </si>
  <si>
    <t>INV-2026-10185</t>
  </si>
  <si>
    <t>INV-2026-10186</t>
  </si>
  <si>
    <t>Delta Labs Corp.</t>
  </si>
  <si>
    <t>ar@deltalabscorp.example.com</t>
  </si>
  <si>
    <t>INV-2026-10187</t>
  </si>
  <si>
    <t>INV-2026-10188</t>
  </si>
  <si>
    <t>INV-2026-10189</t>
  </si>
  <si>
    <t>INV-2026-10190</t>
  </si>
  <si>
    <t>INV-2026-10191</t>
  </si>
  <si>
    <t>INV-2026-10192</t>
  </si>
  <si>
    <t>INV-2026-10193</t>
  </si>
  <si>
    <t>Golden Hardware Co.</t>
  </si>
  <si>
    <t>ar@goldenhardwareco.example.com</t>
  </si>
  <si>
    <t>INV-2026-10194</t>
  </si>
  <si>
    <t>Urban Logistics Ltd</t>
  </si>
  <si>
    <t>ar@urbanlogisticsltd.example.com</t>
  </si>
  <si>
    <t>INV-2026-10195</t>
  </si>
  <si>
    <t>INV-2026-10196</t>
  </si>
  <si>
    <t>Willow Foods LLC</t>
  </si>
  <si>
    <t>ar@willowfoodsllc.example.com</t>
  </si>
  <si>
    <t>INV-2026-10197</t>
  </si>
  <si>
    <t>Summit Logistics Pvt Ltd</t>
  </si>
  <si>
    <t>ar@summitlogisticspvtltd.example.com</t>
  </si>
  <si>
    <t>INV-2026-10198</t>
  </si>
  <si>
    <t>INV-2026-10199</t>
  </si>
  <si>
    <t>INV-2026-10200</t>
  </si>
  <si>
    <t>Lumen Builders Pvt Ltd</t>
  </si>
  <si>
    <t>ar@lumenbuilderspvtltd.example.com</t>
  </si>
  <si>
    <t>INV-2026-10201</t>
  </si>
  <si>
    <t>INV-2026-10202</t>
  </si>
  <si>
    <t>INV-2026-10203</t>
  </si>
  <si>
    <t>INV-2026-10204</t>
  </si>
  <si>
    <t>INV-2026-10205</t>
  </si>
  <si>
    <t>INV-2026-10206</t>
  </si>
  <si>
    <t>INV-2026-10207</t>
  </si>
  <si>
    <t>INV-2026-10208</t>
  </si>
  <si>
    <t>INV-2026-10209</t>
  </si>
  <si>
    <t>INV-2026-10210</t>
  </si>
  <si>
    <t>INV-2026-10211</t>
  </si>
  <si>
    <t>Keystone Textiles Corp.</t>
  </si>
  <si>
    <t>ar@keystonetextilescorp.example.com</t>
  </si>
  <si>
    <t>INV-2026-10212</t>
  </si>
  <si>
    <t>INV-2026-10213</t>
  </si>
  <si>
    <t>INV-2026-10214</t>
  </si>
  <si>
    <t>INV-2026-10215</t>
  </si>
  <si>
    <t>INV-2026-10216</t>
  </si>
  <si>
    <t>INV-2026-10217</t>
  </si>
  <si>
    <t>INV-2026-10218</t>
  </si>
  <si>
    <t>Willow Packaging Co.</t>
  </si>
  <si>
    <t>ar@willowpackagingco.example.com</t>
  </si>
  <si>
    <t>INV-2026-10219</t>
  </si>
  <si>
    <t>INV-2026-10220</t>
  </si>
  <si>
    <t>INV-2026-10221</t>
  </si>
  <si>
    <t>INV-2026-10222</t>
  </si>
  <si>
    <t>INV-2026-10223</t>
  </si>
  <si>
    <t>INV-2026-10224</t>
  </si>
  <si>
    <t>INV-2026-10225</t>
  </si>
  <si>
    <t>INV-2026-10226</t>
  </si>
  <si>
    <t>INV-2026-10227</t>
  </si>
  <si>
    <t>INV-2026-10228</t>
  </si>
  <si>
    <t>INV-2026-10229</t>
  </si>
  <si>
    <t>INV-2026-10230</t>
  </si>
  <si>
    <t>INV-2026-10231</t>
  </si>
  <si>
    <t>INV-2026-10232</t>
  </si>
  <si>
    <t>INV-2026-10233</t>
  </si>
  <si>
    <t>INV-2026-10234</t>
  </si>
  <si>
    <t>INV-2026-10235</t>
  </si>
  <si>
    <t>INV-2026-10236</t>
  </si>
  <si>
    <t>INV-2026-10237</t>
  </si>
  <si>
    <t>INV-2026-10238</t>
  </si>
  <si>
    <t>INV-2026-10239</t>
  </si>
  <si>
    <t>INV-2026-10240</t>
  </si>
  <si>
    <t>INV-2026-10241</t>
  </si>
  <si>
    <t>INV-2026-10242</t>
  </si>
  <si>
    <t>INV-2026-10243</t>
  </si>
  <si>
    <t>INV-2026-10244</t>
  </si>
  <si>
    <t>INV-2026-10245</t>
  </si>
  <si>
    <t>INV-2026-10246</t>
  </si>
  <si>
    <t>INV-2026-10248</t>
  </si>
  <si>
    <t>INV-2026-10249</t>
  </si>
  <si>
    <t>INV-2026-10250</t>
  </si>
  <si>
    <t>INV-2026-10251</t>
  </si>
  <si>
    <t>INV-2026-10252</t>
  </si>
  <si>
    <t>INV-2026-10253</t>
  </si>
  <si>
    <t>INV-2026-10254</t>
  </si>
  <si>
    <t>INV-2026-10255</t>
  </si>
  <si>
    <t>INV-2026-10256</t>
  </si>
  <si>
    <t>INV-2026-10257</t>
  </si>
  <si>
    <t>INV-2026-10258</t>
  </si>
  <si>
    <t>INV-2026-10259</t>
  </si>
  <si>
    <t>INV-2026-10260</t>
  </si>
  <si>
    <t>INV-2026-10261</t>
  </si>
  <si>
    <t>INV-2026-10262</t>
  </si>
  <si>
    <t>INV-2026-10263</t>
  </si>
  <si>
    <t>INV-2026-10264</t>
  </si>
  <si>
    <t>INV-2026-10265</t>
  </si>
  <si>
    <t>INV-2026-10266</t>
  </si>
  <si>
    <t>INV-2026-10267</t>
  </si>
  <si>
    <t>INV-2026-10268</t>
  </si>
  <si>
    <t>INV-2026-10269</t>
  </si>
  <si>
    <t>INV-2026-10270</t>
  </si>
  <si>
    <t>INV-2026-10271</t>
  </si>
  <si>
    <t>INV-2026-10272</t>
  </si>
  <si>
    <t>INV-2026-10273</t>
  </si>
  <si>
    <t>INV-2026-10274</t>
  </si>
  <si>
    <t>INV-2026-10275</t>
  </si>
  <si>
    <t>INV-2026-10276</t>
  </si>
  <si>
    <t>INV-2026-10277</t>
  </si>
  <si>
    <t>INV-2026-10279</t>
  </si>
  <si>
    <t>INV-2026-10280</t>
  </si>
  <si>
    <t>INV-2026-10281</t>
  </si>
  <si>
    <t>INV-2026-10282</t>
  </si>
  <si>
    <t>INV-2026-10283</t>
  </si>
  <si>
    <t>INV-2026-10284</t>
  </si>
  <si>
    <t>INV-2026-10285</t>
  </si>
  <si>
    <t>INV-2026-10286</t>
  </si>
  <si>
    <t>INV-2026-10287</t>
  </si>
  <si>
    <t>INV-2026-10288</t>
  </si>
  <si>
    <t>INV-2026-10289</t>
  </si>
  <si>
    <t>INV-2026-10290</t>
  </si>
  <si>
    <t>Urban Motors Pvt Ltd</t>
  </si>
  <si>
    <t>ar@urbanmotorspvtltd.example.com</t>
  </si>
  <si>
    <t>INV-2026-10291</t>
  </si>
  <si>
    <t>INV-2026-10292</t>
  </si>
  <si>
    <t>INV-2026-10293</t>
  </si>
  <si>
    <t>INV-2026-10294</t>
  </si>
  <si>
    <t>INV-2026-10295</t>
  </si>
  <si>
    <t>INV-2026-10296</t>
  </si>
  <si>
    <t>INV-2026-10297</t>
  </si>
  <si>
    <t>INV-2026-10298</t>
  </si>
  <si>
    <t>INV-2026-10300</t>
  </si>
  <si>
    <t>Parameter</t>
  </si>
  <si>
    <t>Value</t>
  </si>
  <si>
    <t>As Of Date</t>
  </si>
  <si>
    <t>Notes</t>
  </si>
  <si>
    <t>Synthetic customer AR dataset for POC testing.</t>
  </si>
  <si>
    <t>Document Number</t>
  </si>
  <si>
    <t>CRD-2026-10247</t>
  </si>
  <si>
    <t>CRD-2026-10278</t>
  </si>
  <si>
    <t>CRD-2026-10299</t>
  </si>
  <si>
    <t>CRD-2026-10066</t>
  </si>
  <si>
    <t>CRD-2026-10009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</si>
</sst>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[Red]\(\$#,##0.00\);\-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0" fontId="1" fillId="0" borderId="0" xfId="0" applyFont="1"/>
    <xf numFmtId="165" fontId="0" fillId="0" borderId="0" xfId="0" applyNumberFormat="1"/>
    <xf numFmtId="0" fontId="5" fillId="0" borderId="0" xfId="1"/>
  </cellXfs>
  <cellStyles count="2">
    <cellStyle name="Hyperlink" xfId="1" builtinId="8"/>
    <cellStyle name="Normal" xfId="0" builtinId="0"/>
  </cellStyles>
  <dxfs count="3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D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419100</xdr:colOff>
      <xdr:row>41</xdr:row>
      <xdr:rowOff>30480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948A9DA-FC95-92E8-7541-1F172F9B89BF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419100</xdr:colOff>
      <xdr:row>41</xdr:row>
      <xdr:rowOff>30480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2E6B332B-5F22-BE5E-0477-723F706775E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72400" cy="762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mailto:ar@cedarpackagingholdings.example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showGridLines="0" tabSelected="1" workbookViewId="0">
      <selection activeCell="C10" sqref="C10"/>
    </sheetView>
  </sheetViews>
  <sheetFormatPr defaultRowHeight="14.4" x14ac:dyDescent="0.3"/>
  <cols>
    <col min="1" max="1" width="22.88671875" bestFit="1" customWidth="1"/>
    <col min="2" max="2" width="36.77734375" bestFit="1" customWidth="1"/>
    <col min="3" max="3" width="14.5546875" bestFit="1" customWidth="1"/>
    <col min="4" max="4" width="19" bestFit="1" customWidth="1"/>
    <col min="5" max="5" width="14" bestFit="1" customWidth="1"/>
    <col min="6" max="6" width="13.109375" bestFit="1" customWidth="1"/>
    <col min="7" max="7" width="14.6640625" bestFit="1" customWidth="1"/>
    <col min="8" max="8" width="16.44140625" bestFit="1" customWidth="1"/>
  </cols>
  <sheetData>
    <row r="1" spans="1:8" ht="21.9" customHeight="1" x14ac:dyDescent="0.3">
      <c r="A1" s="1" t="s">
        <v>0</v>
      </c>
      <c r="B1" s="1" t="s">
        <v>1</v>
      </c>
      <c r="C1" s="1" t="s">
        <v>463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2" t="s">
        <v>7</v>
      </c>
      <c r="B2" s="8" t="s">
        <v>8</v>
      </c>
      <c r="C2" s="2" t="s">
        <v>9</v>
      </c>
      <c r="D2" s="3">
        <v>8609</v>
      </c>
      <c r="E2" s="4">
        <v>45986</v>
      </c>
      <c r="F2" s="4">
        <v>46040</v>
      </c>
      <c r="G2" s="5">
        <f>IF(Controls!$B$2&gt;F2,Controls!$B$2-F2,0)</f>
        <v>66</v>
      </c>
      <c r="H2" s="5" t="str">
        <f>IF(G2&lt;=30,"0-30",IF(G2&lt;=60,"31-60","60+"))</f>
        <v>60+</v>
      </c>
    </row>
    <row r="3" spans="1:8" x14ac:dyDescent="0.3">
      <c r="A3" s="2" t="s">
        <v>10</v>
      </c>
      <c r="B3" s="2" t="s">
        <v>11</v>
      </c>
      <c r="C3" s="2" t="s">
        <v>12</v>
      </c>
      <c r="D3" s="3">
        <v>8764.17</v>
      </c>
      <c r="E3" s="4">
        <v>46128</v>
      </c>
      <c r="F3" s="4">
        <v>46148</v>
      </c>
      <c r="G3" s="5">
        <f>IF(Controls!$B$2&gt;F3,Controls!$B$2-F3,0)</f>
        <v>0</v>
      </c>
      <c r="H3" s="5" t="str">
        <f t="shared" ref="H3:H66" si="0">IF(G3&lt;=30,"0-30",IF(G3&lt;=60,"31-60","60+"))</f>
        <v>0-30</v>
      </c>
    </row>
    <row r="4" spans="1:8" x14ac:dyDescent="0.3">
      <c r="A4" s="2" t="s">
        <v>13</v>
      </c>
      <c r="B4" s="2" t="s">
        <v>14</v>
      </c>
      <c r="C4" s="2" t="s">
        <v>15</v>
      </c>
      <c r="D4" s="3">
        <v>19612</v>
      </c>
      <c r="E4" s="4">
        <v>46074</v>
      </c>
      <c r="F4" s="4">
        <v>46119</v>
      </c>
      <c r="G4" s="5">
        <f>IF(Controls!$B$2&gt;F4,Controls!$B$2-F4,0)</f>
        <v>0</v>
      </c>
      <c r="H4" s="5" t="str">
        <f t="shared" si="0"/>
        <v>0-30</v>
      </c>
    </row>
    <row r="5" spans="1:8" x14ac:dyDescent="0.3">
      <c r="A5" s="2" t="s">
        <v>16</v>
      </c>
      <c r="B5" s="2" t="s">
        <v>17</v>
      </c>
      <c r="C5" s="2" t="s">
        <v>18</v>
      </c>
      <c r="D5" s="3">
        <v>8479.7999999999993</v>
      </c>
      <c r="E5" s="4">
        <v>45963</v>
      </c>
      <c r="F5" s="4">
        <v>46003</v>
      </c>
      <c r="G5" s="5">
        <f>IF(Controls!$B$2&gt;F5,Controls!$B$2-F5,0)</f>
        <v>103</v>
      </c>
      <c r="H5" s="5" t="str">
        <f t="shared" si="0"/>
        <v>60+</v>
      </c>
    </row>
    <row r="6" spans="1:8" x14ac:dyDescent="0.3">
      <c r="A6" s="2" t="s">
        <v>19</v>
      </c>
      <c r="B6" s="2" t="s">
        <v>20</v>
      </c>
      <c r="C6" s="2" t="s">
        <v>21</v>
      </c>
      <c r="D6" s="3">
        <v>4457.59</v>
      </c>
      <c r="E6" s="4">
        <v>46073</v>
      </c>
      <c r="F6" s="4">
        <v>46089</v>
      </c>
      <c r="G6" s="5">
        <f>IF(Controls!$B$2&gt;F6,Controls!$B$2-F6,0)</f>
        <v>17</v>
      </c>
      <c r="H6" s="5" t="str">
        <f t="shared" si="0"/>
        <v>0-30</v>
      </c>
    </row>
    <row r="7" spans="1:8" x14ac:dyDescent="0.3">
      <c r="A7" s="2" t="s">
        <v>22</v>
      </c>
      <c r="B7" s="2" t="s">
        <v>23</v>
      </c>
      <c r="C7" s="2" t="s">
        <v>24</v>
      </c>
      <c r="D7" s="3">
        <v>3867.81</v>
      </c>
      <c r="E7" s="4">
        <v>46100</v>
      </c>
      <c r="F7" s="4">
        <v>46145</v>
      </c>
      <c r="G7" s="5">
        <f>IF(Controls!$B$2&gt;F7,Controls!$B$2-F7,0)</f>
        <v>0</v>
      </c>
      <c r="H7" s="5" t="str">
        <f t="shared" si="0"/>
        <v>0-30</v>
      </c>
    </row>
    <row r="8" spans="1:8" x14ac:dyDescent="0.3">
      <c r="A8" s="2" t="s">
        <v>25</v>
      </c>
      <c r="B8" s="2" t="s">
        <v>26</v>
      </c>
      <c r="C8" s="2" t="s">
        <v>27</v>
      </c>
      <c r="D8" s="3">
        <v>13820.07</v>
      </c>
      <c r="E8" s="4">
        <v>46099</v>
      </c>
      <c r="F8" s="4">
        <v>46114</v>
      </c>
      <c r="G8" s="5">
        <f>IF(Controls!$B$2&gt;F8,Controls!$B$2-F8,0)</f>
        <v>0</v>
      </c>
      <c r="H8" s="5" t="str">
        <f t="shared" si="0"/>
        <v>0-30</v>
      </c>
    </row>
    <row r="9" spans="1:8" x14ac:dyDescent="0.3">
      <c r="A9" s="2" t="s">
        <v>28</v>
      </c>
      <c r="B9" s="2" t="s">
        <v>29</v>
      </c>
      <c r="C9" s="2" t="s">
        <v>30</v>
      </c>
      <c r="D9" s="3">
        <v>23357.21</v>
      </c>
      <c r="E9" s="4">
        <v>46019</v>
      </c>
      <c r="F9" s="4">
        <v>46046</v>
      </c>
      <c r="G9" s="5">
        <f>IF(Controls!$B$2&gt;F9,Controls!$B$2-F9,0)</f>
        <v>60</v>
      </c>
      <c r="H9" s="5" t="str">
        <f t="shared" si="0"/>
        <v>31-60</v>
      </c>
    </row>
    <row r="10" spans="1:8" x14ac:dyDescent="0.3">
      <c r="A10" s="2" t="s">
        <v>31</v>
      </c>
      <c r="B10" s="2" t="s">
        <v>32</v>
      </c>
      <c r="C10" s="2" t="s">
        <v>468</v>
      </c>
      <c r="D10" s="3">
        <v>5516.3</v>
      </c>
      <c r="E10" s="4">
        <v>46022</v>
      </c>
      <c r="F10" s="4">
        <v>46052</v>
      </c>
      <c r="G10" s="5">
        <f>IF(Controls!$B$2&gt;F10,Controls!$B$2-F10,0)</f>
        <v>54</v>
      </c>
      <c r="H10" s="5" t="str">
        <f t="shared" si="0"/>
        <v>31-60</v>
      </c>
    </row>
    <row r="11" spans="1:8" x14ac:dyDescent="0.3">
      <c r="A11" s="2" t="s">
        <v>33</v>
      </c>
      <c r="B11" s="2" t="s">
        <v>34</v>
      </c>
      <c r="C11" s="2" t="s">
        <v>35</v>
      </c>
      <c r="D11" s="3">
        <v>13722.73</v>
      </c>
      <c r="E11" s="4">
        <v>46082</v>
      </c>
      <c r="F11" s="4">
        <v>46100</v>
      </c>
      <c r="G11" s="5">
        <f>IF(Controls!$B$2&gt;F11,Controls!$B$2-F11,0)</f>
        <v>6</v>
      </c>
      <c r="H11" s="5" t="str">
        <f t="shared" si="0"/>
        <v>0-30</v>
      </c>
    </row>
    <row r="12" spans="1:8" x14ac:dyDescent="0.3">
      <c r="A12" s="2" t="s">
        <v>36</v>
      </c>
      <c r="B12" s="2" t="s">
        <v>37</v>
      </c>
      <c r="C12" s="2" t="s">
        <v>38</v>
      </c>
      <c r="D12" s="3">
        <v>16646.25</v>
      </c>
      <c r="E12" s="4">
        <v>46099</v>
      </c>
      <c r="F12" s="4">
        <v>46140</v>
      </c>
      <c r="G12" s="5">
        <f>IF(Controls!$B$2&gt;F12,Controls!$B$2-F12,0)</f>
        <v>0</v>
      </c>
      <c r="H12" s="5" t="str">
        <f t="shared" si="0"/>
        <v>0-30</v>
      </c>
    </row>
    <row r="13" spans="1:8" x14ac:dyDescent="0.3">
      <c r="A13" s="2" t="s">
        <v>39</v>
      </c>
      <c r="B13" s="2" t="s">
        <v>40</v>
      </c>
      <c r="C13" s="2" t="s">
        <v>41</v>
      </c>
      <c r="D13" s="3">
        <v>4007.95</v>
      </c>
      <c r="E13" s="4">
        <v>46035</v>
      </c>
      <c r="F13" s="4">
        <v>46051</v>
      </c>
      <c r="G13" s="5">
        <f>IF(Controls!$B$2&gt;F13,Controls!$B$2-F13,0)</f>
        <v>55</v>
      </c>
      <c r="H13" s="5" t="str">
        <f t="shared" si="0"/>
        <v>31-60</v>
      </c>
    </row>
    <row r="14" spans="1:8" x14ac:dyDescent="0.3">
      <c r="A14" s="2" t="s">
        <v>42</v>
      </c>
      <c r="B14" s="2" t="s">
        <v>43</v>
      </c>
      <c r="C14" s="2" t="s">
        <v>44</v>
      </c>
      <c r="D14" s="3">
        <v>15311.73</v>
      </c>
      <c r="E14" s="4">
        <v>45982</v>
      </c>
      <c r="F14" s="4">
        <v>46006</v>
      </c>
      <c r="G14" s="5">
        <f>IF(Controls!$B$2&gt;F14,Controls!$B$2-F14,0)</f>
        <v>100</v>
      </c>
      <c r="H14" s="5" t="str">
        <f t="shared" si="0"/>
        <v>60+</v>
      </c>
    </row>
    <row r="15" spans="1:8" x14ac:dyDescent="0.3">
      <c r="A15" s="2" t="s">
        <v>45</v>
      </c>
      <c r="B15" s="2" t="s">
        <v>46</v>
      </c>
      <c r="C15" s="2" t="s">
        <v>47</v>
      </c>
      <c r="D15" s="3">
        <v>3228.33</v>
      </c>
      <c r="E15" s="4">
        <v>46063</v>
      </c>
      <c r="F15" s="4">
        <v>46098</v>
      </c>
      <c r="G15" s="5">
        <f>IF(Controls!$B$2&gt;F15,Controls!$B$2-F15,0)</f>
        <v>8</v>
      </c>
      <c r="H15" s="5" t="str">
        <f t="shared" si="0"/>
        <v>0-30</v>
      </c>
    </row>
    <row r="16" spans="1:8" x14ac:dyDescent="0.3">
      <c r="A16" s="2" t="s">
        <v>48</v>
      </c>
      <c r="B16" s="2" t="s">
        <v>49</v>
      </c>
      <c r="C16" s="2" t="s">
        <v>50</v>
      </c>
      <c r="D16" s="3">
        <v>19660.740000000002</v>
      </c>
      <c r="E16" s="4">
        <v>46042</v>
      </c>
      <c r="F16" s="4">
        <v>46092</v>
      </c>
      <c r="G16" s="5">
        <f>IF(Controls!$B$2&gt;F16,Controls!$B$2-F16,0)</f>
        <v>14</v>
      </c>
      <c r="H16" s="5" t="str">
        <f t="shared" si="0"/>
        <v>0-30</v>
      </c>
    </row>
    <row r="17" spans="1:8" x14ac:dyDescent="0.3">
      <c r="A17" s="2" t="s">
        <v>51</v>
      </c>
      <c r="B17" s="2" t="s">
        <v>52</v>
      </c>
      <c r="C17" s="2" t="s">
        <v>53</v>
      </c>
      <c r="D17" s="3">
        <v>19363.46</v>
      </c>
      <c r="E17" s="4">
        <v>46009</v>
      </c>
      <c r="F17" s="4">
        <v>46052</v>
      </c>
      <c r="G17" s="5">
        <f>IF(Controls!$B$2&gt;F17,Controls!$B$2-F17,0)</f>
        <v>54</v>
      </c>
      <c r="H17" s="5" t="str">
        <f t="shared" si="0"/>
        <v>31-60</v>
      </c>
    </row>
    <row r="18" spans="1:8" x14ac:dyDescent="0.3">
      <c r="A18" s="2" t="s">
        <v>54</v>
      </c>
      <c r="B18" s="2" t="s">
        <v>55</v>
      </c>
      <c r="C18" s="2" t="s">
        <v>56</v>
      </c>
      <c r="D18" s="3">
        <v>22376.799999999999</v>
      </c>
      <c r="E18" s="4">
        <v>46065</v>
      </c>
      <c r="F18" s="4">
        <v>46108</v>
      </c>
      <c r="G18" s="5">
        <f>IF(Controls!$B$2&gt;F18,Controls!$B$2-F18,0)</f>
        <v>0</v>
      </c>
      <c r="H18" s="5" t="str">
        <f t="shared" si="0"/>
        <v>0-30</v>
      </c>
    </row>
    <row r="19" spans="1:8" x14ac:dyDescent="0.3">
      <c r="A19" s="2" t="s">
        <v>57</v>
      </c>
      <c r="B19" s="2" t="s">
        <v>58</v>
      </c>
      <c r="C19" s="2" t="s">
        <v>59</v>
      </c>
      <c r="D19" s="3">
        <v>12762.44</v>
      </c>
      <c r="E19" s="4">
        <v>46013</v>
      </c>
      <c r="F19" s="4">
        <v>46040</v>
      </c>
      <c r="G19" s="5">
        <f>IF(Controls!$B$2&gt;F19,Controls!$B$2-F19,0)</f>
        <v>66</v>
      </c>
      <c r="H19" s="5" t="str">
        <f t="shared" si="0"/>
        <v>60+</v>
      </c>
    </row>
    <row r="20" spans="1:8" x14ac:dyDescent="0.3">
      <c r="A20" s="2" t="s">
        <v>60</v>
      </c>
      <c r="B20" s="2" t="s">
        <v>61</v>
      </c>
      <c r="C20" s="2" t="s">
        <v>62</v>
      </c>
      <c r="D20" s="3">
        <v>20232.21</v>
      </c>
      <c r="E20" s="4">
        <v>45978</v>
      </c>
      <c r="F20" s="4">
        <v>46037</v>
      </c>
      <c r="G20" s="5">
        <f>IF(Controls!$B$2&gt;F20,Controls!$B$2-F20,0)</f>
        <v>69</v>
      </c>
      <c r="H20" s="5" t="str">
        <f t="shared" si="0"/>
        <v>60+</v>
      </c>
    </row>
    <row r="21" spans="1:8" x14ac:dyDescent="0.3">
      <c r="A21" s="2" t="s">
        <v>63</v>
      </c>
      <c r="B21" s="2" t="s">
        <v>64</v>
      </c>
      <c r="C21" s="2" t="s">
        <v>65</v>
      </c>
      <c r="D21" s="3">
        <v>22345.68</v>
      </c>
      <c r="E21" s="4">
        <v>46076</v>
      </c>
      <c r="F21" s="4">
        <v>46119</v>
      </c>
      <c r="G21" s="5">
        <f>IF(Controls!$B$2&gt;F21,Controls!$B$2-F21,0)</f>
        <v>0</v>
      </c>
      <c r="H21" s="5" t="str">
        <f t="shared" si="0"/>
        <v>0-30</v>
      </c>
    </row>
    <row r="22" spans="1:8" x14ac:dyDescent="0.3">
      <c r="A22" s="2" t="s">
        <v>13</v>
      </c>
      <c r="B22" s="2" t="s">
        <v>14</v>
      </c>
      <c r="C22" s="2" t="s">
        <v>66</v>
      </c>
      <c r="D22" s="3">
        <v>8070.5</v>
      </c>
      <c r="E22" s="4">
        <v>46043</v>
      </c>
      <c r="F22" s="4">
        <v>46071</v>
      </c>
      <c r="G22" s="5">
        <f>IF(Controls!$B$2&gt;F22,Controls!$B$2-F22,0)</f>
        <v>35</v>
      </c>
      <c r="H22" s="5" t="str">
        <f t="shared" si="0"/>
        <v>31-60</v>
      </c>
    </row>
    <row r="23" spans="1:8" x14ac:dyDescent="0.3">
      <c r="A23" s="2" t="s">
        <v>13</v>
      </c>
      <c r="B23" s="2" t="s">
        <v>14</v>
      </c>
      <c r="C23" s="2" t="s">
        <v>67</v>
      </c>
      <c r="D23" s="3">
        <v>4072.55</v>
      </c>
      <c r="E23" s="4">
        <v>46091</v>
      </c>
      <c r="F23" s="4">
        <v>46148</v>
      </c>
      <c r="G23" s="5">
        <f>IF(Controls!$B$2&gt;F23,Controls!$B$2-F23,0)</f>
        <v>0</v>
      </c>
      <c r="H23" s="5" t="str">
        <f t="shared" si="0"/>
        <v>0-30</v>
      </c>
    </row>
    <row r="24" spans="1:8" x14ac:dyDescent="0.3">
      <c r="A24" s="2" t="s">
        <v>68</v>
      </c>
      <c r="B24" s="2" t="s">
        <v>69</v>
      </c>
      <c r="C24" s="2" t="s">
        <v>70</v>
      </c>
      <c r="D24" s="3">
        <v>24196.73</v>
      </c>
      <c r="E24" s="4">
        <v>46100</v>
      </c>
      <c r="F24" s="4">
        <v>46121</v>
      </c>
      <c r="G24" s="5">
        <f>IF(Controls!$B$2&gt;F24,Controls!$B$2-F24,0)</f>
        <v>0</v>
      </c>
      <c r="H24" s="5" t="str">
        <f t="shared" si="0"/>
        <v>0-30</v>
      </c>
    </row>
    <row r="25" spans="1:8" x14ac:dyDescent="0.3">
      <c r="A25" s="2" t="s">
        <v>71</v>
      </c>
      <c r="B25" s="2" t="s">
        <v>72</v>
      </c>
      <c r="C25" s="2" t="s">
        <v>73</v>
      </c>
      <c r="D25" s="3">
        <v>16778.87</v>
      </c>
      <c r="E25" s="4">
        <v>46063</v>
      </c>
      <c r="F25" s="4">
        <v>46088</v>
      </c>
      <c r="G25" s="5">
        <f>IF(Controls!$B$2&gt;F25,Controls!$B$2-F25,0)</f>
        <v>18</v>
      </c>
      <c r="H25" s="5" t="str">
        <f t="shared" si="0"/>
        <v>0-30</v>
      </c>
    </row>
    <row r="26" spans="1:8" x14ac:dyDescent="0.3">
      <c r="A26" s="2" t="s">
        <v>16</v>
      </c>
      <c r="B26" s="2" t="s">
        <v>17</v>
      </c>
      <c r="C26" s="2" t="s">
        <v>74</v>
      </c>
      <c r="D26" s="3">
        <v>10244.290000000001</v>
      </c>
      <c r="E26" s="4">
        <v>46106</v>
      </c>
      <c r="F26" s="4">
        <v>46133</v>
      </c>
      <c r="G26" s="5">
        <f>IF(Controls!$B$2&gt;F26,Controls!$B$2-F26,0)</f>
        <v>0</v>
      </c>
      <c r="H26" s="5" t="str">
        <f t="shared" si="0"/>
        <v>0-30</v>
      </c>
    </row>
    <row r="27" spans="1:8" x14ac:dyDescent="0.3">
      <c r="A27" s="2" t="s">
        <v>75</v>
      </c>
      <c r="B27" s="2" t="s">
        <v>76</v>
      </c>
      <c r="C27" s="2" t="s">
        <v>77</v>
      </c>
      <c r="D27" s="3">
        <v>732.2</v>
      </c>
      <c r="E27" s="4">
        <v>45991</v>
      </c>
      <c r="F27" s="4">
        <v>46035</v>
      </c>
      <c r="G27" s="5">
        <f>IF(Controls!$B$2&gt;F27,Controls!$B$2-F27,0)</f>
        <v>71</v>
      </c>
      <c r="H27" s="5" t="str">
        <f t="shared" si="0"/>
        <v>60+</v>
      </c>
    </row>
    <row r="28" spans="1:8" x14ac:dyDescent="0.3">
      <c r="A28" s="2" t="s">
        <v>78</v>
      </c>
      <c r="B28" s="2" t="s">
        <v>79</v>
      </c>
      <c r="C28" s="2" t="s">
        <v>80</v>
      </c>
      <c r="D28" s="3">
        <v>13056.49</v>
      </c>
      <c r="E28" s="4">
        <v>46045</v>
      </c>
      <c r="F28" s="4">
        <v>46064</v>
      </c>
      <c r="G28" s="5">
        <f>IF(Controls!$B$2&gt;F28,Controls!$B$2-F28,0)</f>
        <v>42</v>
      </c>
      <c r="H28" s="5" t="str">
        <f t="shared" si="0"/>
        <v>31-60</v>
      </c>
    </row>
    <row r="29" spans="1:8" x14ac:dyDescent="0.3">
      <c r="A29" s="2" t="s">
        <v>7</v>
      </c>
      <c r="B29" s="2" t="s">
        <v>8</v>
      </c>
      <c r="C29" s="2" t="s">
        <v>81</v>
      </c>
      <c r="D29" s="3">
        <v>2843.29</v>
      </c>
      <c r="E29" s="4">
        <v>46091</v>
      </c>
      <c r="F29" s="4">
        <v>46123</v>
      </c>
      <c r="G29" s="5">
        <f>IF(Controls!$B$2&gt;F29,Controls!$B$2-F29,0)</f>
        <v>0</v>
      </c>
      <c r="H29" s="5" t="str">
        <f t="shared" si="0"/>
        <v>0-30</v>
      </c>
    </row>
    <row r="30" spans="1:8" x14ac:dyDescent="0.3">
      <c r="A30" s="2" t="s">
        <v>82</v>
      </c>
      <c r="B30" s="2" t="s">
        <v>83</v>
      </c>
      <c r="C30" s="2" t="s">
        <v>84</v>
      </c>
      <c r="D30" s="3">
        <v>3456.5</v>
      </c>
      <c r="E30" s="4">
        <v>46004</v>
      </c>
      <c r="F30" s="4">
        <v>46062</v>
      </c>
      <c r="G30" s="5">
        <f>IF(Controls!$B$2&gt;F30,Controls!$B$2-F30,0)</f>
        <v>44</v>
      </c>
      <c r="H30" s="5" t="str">
        <f t="shared" si="0"/>
        <v>31-60</v>
      </c>
    </row>
    <row r="31" spans="1:8" x14ac:dyDescent="0.3">
      <c r="A31" s="2" t="s">
        <v>63</v>
      </c>
      <c r="B31" s="2" t="s">
        <v>64</v>
      </c>
      <c r="C31" s="2" t="s">
        <v>85</v>
      </c>
      <c r="D31" s="3">
        <v>13530.82</v>
      </c>
      <c r="E31" s="4">
        <v>45977</v>
      </c>
      <c r="F31" s="4">
        <v>46036</v>
      </c>
      <c r="G31" s="5">
        <f>IF(Controls!$B$2&gt;F31,Controls!$B$2-F31,0)</f>
        <v>70</v>
      </c>
      <c r="H31" s="5" t="str">
        <f t="shared" si="0"/>
        <v>60+</v>
      </c>
    </row>
    <row r="32" spans="1:8" x14ac:dyDescent="0.3">
      <c r="A32" s="2" t="s">
        <v>86</v>
      </c>
      <c r="B32" s="2" t="s">
        <v>87</v>
      </c>
      <c r="C32" s="2" t="s">
        <v>88</v>
      </c>
      <c r="D32" s="3">
        <v>17283.09</v>
      </c>
      <c r="E32" s="4">
        <v>46043</v>
      </c>
      <c r="F32" s="4">
        <v>46062</v>
      </c>
      <c r="G32" s="5">
        <f>IF(Controls!$B$2&gt;F32,Controls!$B$2-F32,0)</f>
        <v>44</v>
      </c>
      <c r="H32" s="5" t="str">
        <f t="shared" si="0"/>
        <v>31-60</v>
      </c>
    </row>
    <row r="33" spans="1:8" x14ac:dyDescent="0.3">
      <c r="A33" s="2" t="s">
        <v>89</v>
      </c>
      <c r="B33" s="2" t="s">
        <v>90</v>
      </c>
      <c r="C33" s="2" t="s">
        <v>91</v>
      </c>
      <c r="D33" s="3">
        <v>15952.38</v>
      </c>
      <c r="E33" s="4">
        <v>46103</v>
      </c>
      <c r="F33" s="4">
        <v>46123</v>
      </c>
      <c r="G33" s="5">
        <f>IF(Controls!$B$2&gt;F33,Controls!$B$2-F33,0)</f>
        <v>0</v>
      </c>
      <c r="H33" s="5" t="str">
        <f t="shared" si="0"/>
        <v>0-30</v>
      </c>
    </row>
    <row r="34" spans="1:8" x14ac:dyDescent="0.3">
      <c r="A34" s="2" t="s">
        <v>92</v>
      </c>
      <c r="B34" s="2" t="s">
        <v>93</v>
      </c>
      <c r="C34" s="2" t="s">
        <v>94</v>
      </c>
      <c r="D34" s="3">
        <v>21603.68</v>
      </c>
      <c r="E34" s="4">
        <v>46043</v>
      </c>
      <c r="F34" s="4">
        <v>46058</v>
      </c>
      <c r="G34" s="5">
        <f>IF(Controls!$B$2&gt;F34,Controls!$B$2-F34,0)</f>
        <v>48</v>
      </c>
      <c r="H34" s="5" t="str">
        <f t="shared" si="0"/>
        <v>31-60</v>
      </c>
    </row>
    <row r="35" spans="1:8" x14ac:dyDescent="0.3">
      <c r="A35" s="2" t="s">
        <v>95</v>
      </c>
      <c r="B35" s="2" t="s">
        <v>96</v>
      </c>
      <c r="C35" s="2" t="s">
        <v>97</v>
      </c>
      <c r="D35" s="3">
        <v>10589.57</v>
      </c>
      <c r="E35" s="4">
        <v>46070</v>
      </c>
      <c r="F35" s="4">
        <v>46124</v>
      </c>
      <c r="G35" s="5">
        <f>IF(Controls!$B$2&gt;F35,Controls!$B$2-F35,0)</f>
        <v>0</v>
      </c>
      <c r="H35" s="5" t="str">
        <f t="shared" si="0"/>
        <v>0-30</v>
      </c>
    </row>
    <row r="36" spans="1:8" x14ac:dyDescent="0.3">
      <c r="A36" s="2" t="s">
        <v>48</v>
      </c>
      <c r="B36" s="2" t="s">
        <v>49</v>
      </c>
      <c r="C36" s="2" t="s">
        <v>98</v>
      </c>
      <c r="D36" s="3">
        <v>23468.62</v>
      </c>
      <c r="E36" s="4">
        <v>46054</v>
      </c>
      <c r="F36" s="4">
        <v>46085</v>
      </c>
      <c r="G36" s="5">
        <f>IF(Controls!$B$2&gt;F36,Controls!$B$2-F36,0)</f>
        <v>21</v>
      </c>
      <c r="H36" s="5" t="str">
        <f t="shared" si="0"/>
        <v>0-30</v>
      </c>
    </row>
    <row r="37" spans="1:8" x14ac:dyDescent="0.3">
      <c r="A37" s="2" t="s">
        <v>99</v>
      </c>
      <c r="B37" s="2" t="s">
        <v>100</v>
      </c>
      <c r="C37" s="2" t="s">
        <v>101</v>
      </c>
      <c r="D37" s="3">
        <v>15809.61</v>
      </c>
      <c r="E37" s="4">
        <v>46112</v>
      </c>
      <c r="F37" s="4">
        <v>46140</v>
      </c>
      <c r="G37" s="5">
        <f>IF(Controls!$B$2&gt;F37,Controls!$B$2-F37,0)</f>
        <v>0</v>
      </c>
      <c r="H37" s="5" t="str">
        <f t="shared" si="0"/>
        <v>0-30</v>
      </c>
    </row>
    <row r="38" spans="1:8" x14ac:dyDescent="0.3">
      <c r="A38" s="2" t="s">
        <v>39</v>
      </c>
      <c r="B38" s="2" t="s">
        <v>40</v>
      </c>
      <c r="C38" s="2" t="s">
        <v>102</v>
      </c>
      <c r="D38" s="3">
        <v>6945.43</v>
      </c>
      <c r="E38" s="4">
        <v>45987</v>
      </c>
      <c r="F38" s="4">
        <v>46003</v>
      </c>
      <c r="G38" s="5">
        <f>IF(Controls!$B$2&gt;F38,Controls!$B$2-F38,0)</f>
        <v>103</v>
      </c>
      <c r="H38" s="5" t="str">
        <f t="shared" si="0"/>
        <v>60+</v>
      </c>
    </row>
    <row r="39" spans="1:8" x14ac:dyDescent="0.3">
      <c r="A39" s="2" t="s">
        <v>103</v>
      </c>
      <c r="B39" s="2" t="s">
        <v>104</v>
      </c>
      <c r="C39" s="2" t="s">
        <v>105</v>
      </c>
      <c r="D39" s="3">
        <v>18393.740000000002</v>
      </c>
      <c r="E39" s="4">
        <v>46019</v>
      </c>
      <c r="F39" s="4">
        <v>46046</v>
      </c>
      <c r="G39" s="5">
        <f>IF(Controls!$B$2&gt;F39,Controls!$B$2-F39,0)</f>
        <v>60</v>
      </c>
      <c r="H39" s="5" t="str">
        <f t="shared" si="0"/>
        <v>31-60</v>
      </c>
    </row>
    <row r="40" spans="1:8" x14ac:dyDescent="0.3">
      <c r="A40" s="2" t="s">
        <v>106</v>
      </c>
      <c r="B40" s="2" t="s">
        <v>107</v>
      </c>
      <c r="C40" s="2" t="s">
        <v>108</v>
      </c>
      <c r="D40" s="3">
        <v>23382.41</v>
      </c>
      <c r="E40" s="4">
        <v>46032</v>
      </c>
      <c r="F40" s="4">
        <v>46088</v>
      </c>
      <c r="G40" s="5">
        <f>IF(Controls!$B$2&gt;F40,Controls!$B$2-F40,0)</f>
        <v>18</v>
      </c>
      <c r="H40" s="5" t="str">
        <f t="shared" si="0"/>
        <v>0-30</v>
      </c>
    </row>
    <row r="41" spans="1:8" x14ac:dyDescent="0.3">
      <c r="A41" s="2" t="s">
        <v>109</v>
      </c>
      <c r="B41" s="2" t="s">
        <v>110</v>
      </c>
      <c r="C41" s="2" t="s">
        <v>111</v>
      </c>
      <c r="D41" s="3">
        <v>22245.97</v>
      </c>
      <c r="E41" s="4">
        <v>46007</v>
      </c>
      <c r="F41" s="4">
        <v>46041</v>
      </c>
      <c r="G41" s="5">
        <f>IF(Controls!$B$2&gt;F41,Controls!$B$2-F41,0)</f>
        <v>65</v>
      </c>
      <c r="H41" s="5" t="str">
        <f t="shared" si="0"/>
        <v>60+</v>
      </c>
    </row>
    <row r="42" spans="1:8" x14ac:dyDescent="0.3">
      <c r="A42" s="2" t="s">
        <v>7</v>
      </c>
      <c r="B42" s="2" t="s">
        <v>8</v>
      </c>
      <c r="C42" s="2" t="s">
        <v>112</v>
      </c>
      <c r="D42" s="3">
        <v>20849.09</v>
      </c>
      <c r="E42" s="4">
        <v>45971</v>
      </c>
      <c r="F42" s="4">
        <v>46026</v>
      </c>
      <c r="G42" s="5">
        <f>IF(Controls!$B$2&gt;F42,Controls!$B$2-F42,0)</f>
        <v>80</v>
      </c>
      <c r="H42" s="5" t="str">
        <f t="shared" si="0"/>
        <v>60+</v>
      </c>
    </row>
    <row r="43" spans="1:8" x14ac:dyDescent="0.3">
      <c r="A43" s="2" t="s">
        <v>113</v>
      </c>
      <c r="B43" s="2" t="s">
        <v>114</v>
      </c>
      <c r="C43" s="2" t="s">
        <v>115</v>
      </c>
      <c r="D43" s="3">
        <v>8851.92</v>
      </c>
      <c r="E43" s="4">
        <v>46080</v>
      </c>
      <c r="F43" s="4">
        <v>46095</v>
      </c>
      <c r="G43" s="5">
        <f>IF(Controls!$B$2&gt;F43,Controls!$B$2-F43,0)</f>
        <v>11</v>
      </c>
      <c r="H43" s="5" t="str">
        <f t="shared" si="0"/>
        <v>0-30</v>
      </c>
    </row>
    <row r="44" spans="1:8" x14ac:dyDescent="0.3">
      <c r="A44" s="2" t="s">
        <v>68</v>
      </c>
      <c r="B44" s="2" t="s">
        <v>69</v>
      </c>
      <c r="C44" s="2" t="s">
        <v>116</v>
      </c>
      <c r="D44" s="3">
        <v>1621.18</v>
      </c>
      <c r="E44" s="4">
        <v>45996</v>
      </c>
      <c r="F44" s="4">
        <v>46053</v>
      </c>
      <c r="G44" s="5">
        <f>IF(Controls!$B$2&gt;F44,Controls!$B$2-F44,0)</f>
        <v>53</v>
      </c>
      <c r="H44" s="5" t="str">
        <f t="shared" si="0"/>
        <v>31-60</v>
      </c>
    </row>
    <row r="45" spans="1:8" x14ac:dyDescent="0.3">
      <c r="A45" s="2" t="s">
        <v>117</v>
      </c>
      <c r="B45" s="2" t="s">
        <v>118</v>
      </c>
      <c r="C45" s="2" t="s">
        <v>119</v>
      </c>
      <c r="D45" s="3">
        <v>7503.2</v>
      </c>
      <c r="E45" s="4">
        <v>46032</v>
      </c>
      <c r="F45" s="4">
        <v>46058</v>
      </c>
      <c r="G45" s="5">
        <f>IF(Controls!$B$2&gt;F45,Controls!$B$2-F45,0)</f>
        <v>48</v>
      </c>
      <c r="H45" s="5" t="str">
        <f t="shared" si="0"/>
        <v>31-60</v>
      </c>
    </row>
    <row r="46" spans="1:8" x14ac:dyDescent="0.3">
      <c r="A46" s="2" t="s">
        <v>120</v>
      </c>
      <c r="B46" s="2" t="s">
        <v>121</v>
      </c>
      <c r="C46" s="2" t="s">
        <v>122</v>
      </c>
      <c r="D46" s="3">
        <v>339.66</v>
      </c>
      <c r="E46" s="4">
        <v>46034</v>
      </c>
      <c r="F46" s="4">
        <v>46070</v>
      </c>
      <c r="G46" s="5">
        <f>IF(Controls!$B$2&gt;F46,Controls!$B$2-F46,0)</f>
        <v>36</v>
      </c>
      <c r="H46" s="5" t="str">
        <f t="shared" si="0"/>
        <v>31-60</v>
      </c>
    </row>
    <row r="47" spans="1:8" x14ac:dyDescent="0.3">
      <c r="A47" s="2" t="s">
        <v>123</v>
      </c>
      <c r="B47" s="2" t="s">
        <v>124</v>
      </c>
      <c r="C47" s="2" t="s">
        <v>125</v>
      </c>
      <c r="D47" s="3">
        <v>1102.56</v>
      </c>
      <c r="E47" s="4">
        <v>46049</v>
      </c>
      <c r="F47" s="4">
        <v>46077</v>
      </c>
      <c r="G47" s="5">
        <f>IF(Controls!$B$2&gt;F47,Controls!$B$2-F47,0)</f>
        <v>29</v>
      </c>
      <c r="H47" s="5" t="str">
        <f t="shared" si="0"/>
        <v>0-30</v>
      </c>
    </row>
    <row r="48" spans="1:8" x14ac:dyDescent="0.3">
      <c r="A48" s="2" t="s">
        <v>36</v>
      </c>
      <c r="B48" s="2" t="s">
        <v>37</v>
      </c>
      <c r="C48" s="2" t="s">
        <v>126</v>
      </c>
      <c r="D48" s="3">
        <v>8549.49</v>
      </c>
      <c r="E48" s="4">
        <v>46061</v>
      </c>
      <c r="F48" s="4">
        <v>46106</v>
      </c>
      <c r="G48" s="5">
        <f>IF(Controls!$B$2&gt;F48,Controls!$B$2-F48,0)</f>
        <v>0</v>
      </c>
      <c r="H48" s="5" t="str">
        <f t="shared" si="0"/>
        <v>0-30</v>
      </c>
    </row>
    <row r="49" spans="1:8" x14ac:dyDescent="0.3">
      <c r="A49" s="2" t="s">
        <v>86</v>
      </c>
      <c r="B49" s="2" t="s">
        <v>87</v>
      </c>
      <c r="C49" s="2" t="s">
        <v>127</v>
      </c>
      <c r="D49" s="3">
        <v>5224.26</v>
      </c>
      <c r="E49" s="4">
        <v>46017</v>
      </c>
      <c r="F49" s="4">
        <v>46037</v>
      </c>
      <c r="G49" s="5">
        <f>IF(Controls!$B$2&gt;F49,Controls!$B$2-F49,0)</f>
        <v>69</v>
      </c>
      <c r="H49" s="5" t="str">
        <f t="shared" si="0"/>
        <v>60+</v>
      </c>
    </row>
    <row r="50" spans="1:8" x14ac:dyDescent="0.3">
      <c r="A50" s="2" t="s">
        <v>75</v>
      </c>
      <c r="B50" s="2" t="s">
        <v>76</v>
      </c>
      <c r="C50" s="2" t="s">
        <v>128</v>
      </c>
      <c r="D50" s="3">
        <v>14773.32</v>
      </c>
      <c r="E50" s="4">
        <v>46050</v>
      </c>
      <c r="F50" s="4">
        <v>46066</v>
      </c>
      <c r="G50" s="5">
        <f>IF(Controls!$B$2&gt;F50,Controls!$B$2-F50,0)</f>
        <v>40</v>
      </c>
      <c r="H50" s="5" t="str">
        <f t="shared" si="0"/>
        <v>31-60</v>
      </c>
    </row>
    <row r="51" spans="1:8" x14ac:dyDescent="0.3">
      <c r="A51" s="2" t="s">
        <v>129</v>
      </c>
      <c r="B51" s="2" t="s">
        <v>130</v>
      </c>
      <c r="C51" s="2" t="s">
        <v>131</v>
      </c>
      <c r="D51" s="3">
        <v>6012.04</v>
      </c>
      <c r="E51" s="4">
        <v>45994</v>
      </c>
      <c r="F51" s="4">
        <v>46042</v>
      </c>
      <c r="G51" s="5">
        <f>IF(Controls!$B$2&gt;F51,Controls!$B$2-F51,0)</f>
        <v>64</v>
      </c>
      <c r="H51" s="5" t="str">
        <f t="shared" si="0"/>
        <v>60+</v>
      </c>
    </row>
    <row r="52" spans="1:8" x14ac:dyDescent="0.3">
      <c r="A52" s="2" t="s">
        <v>132</v>
      </c>
      <c r="B52" s="2" t="s">
        <v>133</v>
      </c>
      <c r="C52" s="2" t="s">
        <v>134</v>
      </c>
      <c r="D52" s="3">
        <v>17970.84</v>
      </c>
      <c r="E52" s="4">
        <v>45940</v>
      </c>
      <c r="F52" s="4">
        <v>45993</v>
      </c>
      <c r="G52" s="5">
        <f>IF(Controls!$B$2&gt;F52,Controls!$B$2-F52,0)</f>
        <v>113</v>
      </c>
      <c r="H52" s="5" t="str">
        <f t="shared" si="0"/>
        <v>60+</v>
      </c>
    </row>
    <row r="53" spans="1:8" x14ac:dyDescent="0.3">
      <c r="A53" s="2" t="s">
        <v>57</v>
      </c>
      <c r="B53" s="2" t="s">
        <v>58</v>
      </c>
      <c r="C53" s="2" t="s">
        <v>135</v>
      </c>
      <c r="D53" s="3">
        <v>12481.22</v>
      </c>
      <c r="E53" s="4">
        <v>46015</v>
      </c>
      <c r="F53" s="4">
        <v>46069</v>
      </c>
      <c r="G53" s="5">
        <f>IF(Controls!$B$2&gt;F53,Controls!$B$2-F53,0)</f>
        <v>37</v>
      </c>
      <c r="H53" s="5" t="str">
        <f t="shared" si="0"/>
        <v>31-60</v>
      </c>
    </row>
    <row r="54" spans="1:8" x14ac:dyDescent="0.3">
      <c r="A54" s="2" t="s">
        <v>136</v>
      </c>
      <c r="B54" s="2" t="s">
        <v>137</v>
      </c>
      <c r="C54" s="2" t="s">
        <v>138</v>
      </c>
      <c r="D54" s="3">
        <v>17946.52</v>
      </c>
      <c r="E54" s="4">
        <v>46084</v>
      </c>
      <c r="F54" s="4">
        <v>46139</v>
      </c>
      <c r="G54" s="5">
        <f>IF(Controls!$B$2&gt;F54,Controls!$B$2-F54,0)</f>
        <v>0</v>
      </c>
      <c r="H54" s="5" t="str">
        <f t="shared" si="0"/>
        <v>0-30</v>
      </c>
    </row>
    <row r="55" spans="1:8" x14ac:dyDescent="0.3">
      <c r="A55" s="2" t="s">
        <v>39</v>
      </c>
      <c r="B55" s="2" t="s">
        <v>40</v>
      </c>
      <c r="C55" s="2" t="s">
        <v>139</v>
      </c>
      <c r="D55" s="3">
        <v>13212.99</v>
      </c>
      <c r="E55" s="4">
        <v>46001</v>
      </c>
      <c r="F55" s="4">
        <v>46052</v>
      </c>
      <c r="G55" s="5">
        <f>IF(Controls!$B$2&gt;F55,Controls!$B$2-F55,0)</f>
        <v>54</v>
      </c>
      <c r="H55" s="5" t="str">
        <f t="shared" si="0"/>
        <v>31-60</v>
      </c>
    </row>
    <row r="56" spans="1:8" x14ac:dyDescent="0.3">
      <c r="A56" s="2" t="s">
        <v>78</v>
      </c>
      <c r="B56" s="2" t="s">
        <v>79</v>
      </c>
      <c r="C56" s="2" t="s">
        <v>140</v>
      </c>
      <c r="D56" s="3">
        <v>14705.52</v>
      </c>
      <c r="E56" s="4">
        <v>46091</v>
      </c>
      <c r="F56" s="4">
        <v>46150</v>
      </c>
      <c r="G56" s="5">
        <f>IF(Controls!$B$2&gt;F56,Controls!$B$2-F56,0)</f>
        <v>0</v>
      </c>
      <c r="H56" s="5" t="str">
        <f t="shared" si="0"/>
        <v>0-30</v>
      </c>
    </row>
    <row r="57" spans="1:8" x14ac:dyDescent="0.3">
      <c r="A57" s="2" t="s">
        <v>19</v>
      </c>
      <c r="B57" s="2" t="s">
        <v>20</v>
      </c>
      <c r="C57" s="2" t="s">
        <v>141</v>
      </c>
      <c r="D57" s="3">
        <v>3544.06</v>
      </c>
      <c r="E57" s="4">
        <v>46049</v>
      </c>
      <c r="F57" s="4">
        <v>46070</v>
      </c>
      <c r="G57" s="5">
        <f>IF(Controls!$B$2&gt;F57,Controls!$B$2-F57,0)</f>
        <v>36</v>
      </c>
      <c r="H57" s="5" t="str">
        <f t="shared" si="0"/>
        <v>31-60</v>
      </c>
    </row>
    <row r="58" spans="1:8" x14ac:dyDescent="0.3">
      <c r="A58" s="2" t="s">
        <v>142</v>
      </c>
      <c r="B58" s="2" t="s">
        <v>143</v>
      </c>
      <c r="C58" s="2" t="s">
        <v>144</v>
      </c>
      <c r="D58" s="3">
        <v>14073.55</v>
      </c>
      <c r="E58" s="4">
        <v>46131</v>
      </c>
      <c r="F58" s="4">
        <v>46147</v>
      </c>
      <c r="G58" s="5">
        <f>IF(Controls!$B$2&gt;F58,Controls!$B$2-F58,0)</f>
        <v>0</v>
      </c>
      <c r="H58" s="5" t="str">
        <f t="shared" si="0"/>
        <v>0-30</v>
      </c>
    </row>
    <row r="59" spans="1:8" x14ac:dyDescent="0.3">
      <c r="A59" s="2" t="s">
        <v>145</v>
      </c>
      <c r="B59" s="2" t="s">
        <v>146</v>
      </c>
      <c r="C59" s="2" t="s">
        <v>147</v>
      </c>
      <c r="D59" s="3">
        <v>332.03</v>
      </c>
      <c r="E59" s="4">
        <v>46046</v>
      </c>
      <c r="F59" s="4">
        <v>46093</v>
      </c>
      <c r="G59" s="5">
        <f>IF(Controls!$B$2&gt;F59,Controls!$B$2-F59,0)</f>
        <v>13</v>
      </c>
      <c r="H59" s="5" t="str">
        <f t="shared" si="0"/>
        <v>0-30</v>
      </c>
    </row>
    <row r="60" spans="1:8" x14ac:dyDescent="0.3">
      <c r="A60" s="2" t="s">
        <v>75</v>
      </c>
      <c r="B60" s="2" t="s">
        <v>76</v>
      </c>
      <c r="C60" s="2" t="s">
        <v>148</v>
      </c>
      <c r="D60" s="3">
        <v>1884.75</v>
      </c>
      <c r="E60" s="4">
        <v>45966</v>
      </c>
      <c r="F60" s="4">
        <v>46011</v>
      </c>
      <c r="G60" s="5">
        <f>IF(Controls!$B$2&gt;F60,Controls!$B$2-F60,0)</f>
        <v>95</v>
      </c>
      <c r="H60" s="5" t="str">
        <f t="shared" si="0"/>
        <v>60+</v>
      </c>
    </row>
    <row r="61" spans="1:8" x14ac:dyDescent="0.3">
      <c r="A61" s="2" t="s">
        <v>149</v>
      </c>
      <c r="B61" s="2" t="s">
        <v>150</v>
      </c>
      <c r="C61" s="2" t="s">
        <v>151</v>
      </c>
      <c r="D61" s="3">
        <v>6060.94</v>
      </c>
      <c r="E61" s="4">
        <v>46091</v>
      </c>
      <c r="F61" s="4">
        <v>46120</v>
      </c>
      <c r="G61" s="5">
        <f>IF(Controls!$B$2&gt;F61,Controls!$B$2-F61,0)</f>
        <v>0</v>
      </c>
      <c r="H61" s="5" t="str">
        <f t="shared" si="0"/>
        <v>0-30</v>
      </c>
    </row>
    <row r="62" spans="1:8" x14ac:dyDescent="0.3">
      <c r="A62" s="2" t="s">
        <v>152</v>
      </c>
      <c r="B62" s="2" t="s">
        <v>153</v>
      </c>
      <c r="C62" s="2" t="s">
        <v>154</v>
      </c>
      <c r="D62" s="3">
        <v>9718.3700000000008</v>
      </c>
      <c r="E62" s="4">
        <v>46007</v>
      </c>
      <c r="F62" s="4">
        <v>46040</v>
      </c>
      <c r="G62" s="5">
        <f>IF(Controls!$B$2&gt;F62,Controls!$B$2-F62,0)</f>
        <v>66</v>
      </c>
      <c r="H62" s="5" t="str">
        <f t="shared" si="0"/>
        <v>60+</v>
      </c>
    </row>
    <row r="63" spans="1:8" x14ac:dyDescent="0.3">
      <c r="A63" s="2" t="s">
        <v>155</v>
      </c>
      <c r="B63" s="2" t="s">
        <v>156</v>
      </c>
      <c r="C63" s="2" t="s">
        <v>157</v>
      </c>
      <c r="D63" s="3">
        <v>5157.68</v>
      </c>
      <c r="E63" s="4">
        <v>46005</v>
      </c>
      <c r="F63" s="4">
        <v>46029</v>
      </c>
      <c r="G63" s="5">
        <f>IF(Controls!$B$2&gt;F63,Controls!$B$2-F63,0)</f>
        <v>77</v>
      </c>
      <c r="H63" s="5" t="str">
        <f t="shared" si="0"/>
        <v>60+</v>
      </c>
    </row>
    <row r="64" spans="1:8" x14ac:dyDescent="0.3">
      <c r="A64" s="2" t="s">
        <v>129</v>
      </c>
      <c r="B64" s="2" t="s">
        <v>130</v>
      </c>
      <c r="C64" s="2" t="s">
        <v>158</v>
      </c>
      <c r="D64" s="3">
        <v>3552.66</v>
      </c>
      <c r="E64" s="4">
        <v>46026</v>
      </c>
      <c r="F64" s="4">
        <v>46044</v>
      </c>
      <c r="G64" s="5">
        <f>IF(Controls!$B$2&gt;F64,Controls!$B$2-F64,0)</f>
        <v>62</v>
      </c>
      <c r="H64" s="5" t="str">
        <f t="shared" si="0"/>
        <v>60+</v>
      </c>
    </row>
    <row r="65" spans="1:8" x14ac:dyDescent="0.3">
      <c r="A65" s="2" t="s">
        <v>159</v>
      </c>
      <c r="B65" s="2" t="s">
        <v>160</v>
      </c>
      <c r="C65" s="2" t="s">
        <v>161</v>
      </c>
      <c r="D65" s="3">
        <v>16973.759999999998</v>
      </c>
      <c r="E65" s="4">
        <v>46008</v>
      </c>
      <c r="F65" s="4">
        <v>46068</v>
      </c>
      <c r="G65" s="5">
        <f>IF(Controls!$B$2&gt;F65,Controls!$B$2-F65,0)</f>
        <v>38</v>
      </c>
      <c r="H65" s="5" t="str">
        <f t="shared" si="0"/>
        <v>31-60</v>
      </c>
    </row>
    <row r="66" spans="1:8" x14ac:dyDescent="0.3">
      <c r="A66" s="2" t="s">
        <v>22</v>
      </c>
      <c r="B66" s="2" t="s">
        <v>23</v>
      </c>
      <c r="C66" s="2" t="s">
        <v>162</v>
      </c>
      <c r="D66" s="3">
        <v>19237.45</v>
      </c>
      <c r="E66" s="4">
        <v>46011</v>
      </c>
      <c r="F66" s="4">
        <v>46031</v>
      </c>
      <c r="G66" s="5">
        <f>IF(Controls!$B$2&gt;F66,Controls!$B$2-F66,0)</f>
        <v>75</v>
      </c>
      <c r="H66" s="5" t="str">
        <f t="shared" si="0"/>
        <v>60+</v>
      </c>
    </row>
    <row r="67" spans="1:8" x14ac:dyDescent="0.3">
      <c r="A67" s="2" t="s">
        <v>78</v>
      </c>
      <c r="B67" s="2" t="s">
        <v>79</v>
      </c>
      <c r="C67" s="2" t="s">
        <v>467</v>
      </c>
      <c r="D67" s="3">
        <v>2142.4899999999998</v>
      </c>
      <c r="E67" s="4">
        <v>46009</v>
      </c>
      <c r="F67" s="4">
        <v>46052</v>
      </c>
      <c r="G67" s="5">
        <f>IF(Controls!$B$2&gt;F67,Controls!$B$2-F67,0)</f>
        <v>54</v>
      </c>
      <c r="H67" s="5" t="str">
        <f t="shared" ref="H67:H130" si="1">IF(G67&lt;=30,"0-30",IF(G67&lt;=60,"31-60","60+"))</f>
        <v>31-60</v>
      </c>
    </row>
    <row r="68" spans="1:8" x14ac:dyDescent="0.3">
      <c r="A68" s="2" t="s">
        <v>89</v>
      </c>
      <c r="B68" s="2" t="s">
        <v>90</v>
      </c>
      <c r="C68" s="2" t="s">
        <v>163</v>
      </c>
      <c r="D68" s="3">
        <v>22934.73</v>
      </c>
      <c r="E68" s="4">
        <v>46055</v>
      </c>
      <c r="F68" s="4">
        <v>46075</v>
      </c>
      <c r="G68" s="5">
        <f>IF(Controls!$B$2&gt;F68,Controls!$B$2-F68,0)</f>
        <v>31</v>
      </c>
      <c r="H68" s="5" t="str">
        <f t="shared" si="1"/>
        <v>31-60</v>
      </c>
    </row>
    <row r="69" spans="1:8" x14ac:dyDescent="0.3">
      <c r="A69" s="2" t="s">
        <v>48</v>
      </c>
      <c r="B69" s="2" t="s">
        <v>49</v>
      </c>
      <c r="C69" s="2" t="s">
        <v>164</v>
      </c>
      <c r="D69" s="3">
        <v>9148.9500000000007</v>
      </c>
      <c r="E69" s="4">
        <v>45984</v>
      </c>
      <c r="F69" s="4">
        <v>46039</v>
      </c>
      <c r="G69" s="5">
        <f>IF(Controls!$B$2&gt;F69,Controls!$B$2-F69,0)</f>
        <v>67</v>
      </c>
      <c r="H69" s="5" t="str">
        <f t="shared" si="1"/>
        <v>60+</v>
      </c>
    </row>
    <row r="70" spans="1:8" x14ac:dyDescent="0.3">
      <c r="A70" s="2" t="s">
        <v>106</v>
      </c>
      <c r="B70" s="2" t="s">
        <v>107</v>
      </c>
      <c r="C70" s="2" t="s">
        <v>165</v>
      </c>
      <c r="D70" s="3">
        <v>3038.77</v>
      </c>
      <c r="E70" s="4">
        <v>46041</v>
      </c>
      <c r="F70" s="4">
        <v>46070</v>
      </c>
      <c r="G70" s="5">
        <f>IF(Controls!$B$2&gt;F70,Controls!$B$2-F70,0)</f>
        <v>36</v>
      </c>
      <c r="H70" s="5" t="str">
        <f t="shared" si="1"/>
        <v>31-60</v>
      </c>
    </row>
    <row r="71" spans="1:8" x14ac:dyDescent="0.3">
      <c r="A71" s="2" t="s">
        <v>109</v>
      </c>
      <c r="B71" s="2" t="s">
        <v>110</v>
      </c>
      <c r="C71" s="2" t="s">
        <v>166</v>
      </c>
      <c r="D71" s="3">
        <v>12281.98</v>
      </c>
      <c r="E71" s="4">
        <v>46083</v>
      </c>
      <c r="F71" s="4">
        <v>46108</v>
      </c>
      <c r="G71" s="5">
        <f>IF(Controls!$B$2&gt;F71,Controls!$B$2-F71,0)</f>
        <v>0</v>
      </c>
      <c r="H71" s="5" t="str">
        <f t="shared" si="1"/>
        <v>0-30</v>
      </c>
    </row>
    <row r="72" spans="1:8" x14ac:dyDescent="0.3">
      <c r="A72" s="2" t="s">
        <v>71</v>
      </c>
      <c r="B72" s="2" t="s">
        <v>72</v>
      </c>
      <c r="C72" s="2" t="s">
        <v>167</v>
      </c>
      <c r="D72" s="3">
        <v>10284.129999999999</v>
      </c>
      <c r="E72" s="4">
        <v>45988</v>
      </c>
      <c r="F72" s="4">
        <v>46012</v>
      </c>
      <c r="G72" s="5">
        <f>IF(Controls!$B$2&gt;F72,Controls!$B$2-F72,0)</f>
        <v>94</v>
      </c>
      <c r="H72" s="5" t="str">
        <f t="shared" si="1"/>
        <v>60+</v>
      </c>
    </row>
    <row r="73" spans="1:8" x14ac:dyDescent="0.3">
      <c r="A73" s="2" t="s">
        <v>142</v>
      </c>
      <c r="B73" s="2" t="s">
        <v>143</v>
      </c>
      <c r="C73" s="2" t="s">
        <v>168</v>
      </c>
      <c r="D73" s="3">
        <v>21045.72</v>
      </c>
      <c r="E73" s="4">
        <v>46081</v>
      </c>
      <c r="F73" s="4">
        <v>46116</v>
      </c>
      <c r="G73" s="5">
        <f>IF(Controls!$B$2&gt;F73,Controls!$B$2-F73,0)</f>
        <v>0</v>
      </c>
      <c r="H73" s="5" t="str">
        <f t="shared" si="1"/>
        <v>0-30</v>
      </c>
    </row>
    <row r="74" spans="1:8" x14ac:dyDescent="0.3">
      <c r="A74" s="2" t="s">
        <v>95</v>
      </c>
      <c r="B74" s="2" t="s">
        <v>96</v>
      </c>
      <c r="C74" s="2" t="s">
        <v>169</v>
      </c>
      <c r="D74" s="3">
        <v>3221.02</v>
      </c>
      <c r="E74" s="4">
        <v>46059</v>
      </c>
      <c r="F74" s="4">
        <v>46119</v>
      </c>
      <c r="G74" s="5">
        <f>IF(Controls!$B$2&gt;F74,Controls!$B$2-F74,0)</f>
        <v>0</v>
      </c>
      <c r="H74" s="5" t="str">
        <f t="shared" si="1"/>
        <v>0-30</v>
      </c>
    </row>
    <row r="75" spans="1:8" x14ac:dyDescent="0.3">
      <c r="A75" s="2" t="s">
        <v>170</v>
      </c>
      <c r="B75" s="2" t="s">
        <v>171</v>
      </c>
      <c r="C75" s="2" t="s">
        <v>172</v>
      </c>
      <c r="D75" s="3">
        <v>1858.19</v>
      </c>
      <c r="E75" s="4">
        <v>46015</v>
      </c>
      <c r="F75" s="4">
        <v>46067</v>
      </c>
      <c r="G75" s="5">
        <f>IF(Controls!$B$2&gt;F75,Controls!$B$2-F75,0)</f>
        <v>39</v>
      </c>
      <c r="H75" s="5" t="str">
        <f t="shared" si="1"/>
        <v>31-60</v>
      </c>
    </row>
    <row r="76" spans="1:8" x14ac:dyDescent="0.3">
      <c r="A76" s="2" t="s">
        <v>149</v>
      </c>
      <c r="B76" s="2" t="s">
        <v>150</v>
      </c>
      <c r="C76" s="2" t="s">
        <v>173</v>
      </c>
      <c r="D76" s="3">
        <v>10844.31</v>
      </c>
      <c r="E76" s="4">
        <v>46034</v>
      </c>
      <c r="F76" s="4">
        <v>46066</v>
      </c>
      <c r="G76" s="5">
        <f>IF(Controls!$B$2&gt;F76,Controls!$B$2-F76,0)</f>
        <v>40</v>
      </c>
      <c r="H76" s="5" t="str">
        <f t="shared" si="1"/>
        <v>31-60</v>
      </c>
    </row>
    <row r="77" spans="1:8" x14ac:dyDescent="0.3">
      <c r="A77" s="2" t="s">
        <v>174</v>
      </c>
      <c r="B77" s="2" t="s">
        <v>175</v>
      </c>
      <c r="C77" s="2" t="s">
        <v>176</v>
      </c>
      <c r="D77" s="3">
        <v>3935.63</v>
      </c>
      <c r="E77" s="4">
        <v>46029</v>
      </c>
      <c r="F77" s="4">
        <v>46071</v>
      </c>
      <c r="G77" s="5">
        <f>IF(Controls!$B$2&gt;F77,Controls!$B$2-F77,0)</f>
        <v>35</v>
      </c>
      <c r="H77" s="5" t="str">
        <f t="shared" si="1"/>
        <v>31-60</v>
      </c>
    </row>
    <row r="78" spans="1:8" x14ac:dyDescent="0.3">
      <c r="A78" s="2" t="s">
        <v>51</v>
      </c>
      <c r="B78" s="2" t="s">
        <v>52</v>
      </c>
      <c r="C78" s="2" t="s">
        <v>177</v>
      </c>
      <c r="D78" s="3">
        <v>19682.28</v>
      </c>
      <c r="E78" s="4">
        <v>46035</v>
      </c>
      <c r="F78" s="4">
        <v>46051</v>
      </c>
      <c r="G78" s="5">
        <f>IF(Controls!$B$2&gt;F78,Controls!$B$2-F78,0)</f>
        <v>55</v>
      </c>
      <c r="H78" s="5" t="str">
        <f t="shared" si="1"/>
        <v>31-60</v>
      </c>
    </row>
    <row r="79" spans="1:8" x14ac:dyDescent="0.3">
      <c r="A79" s="2" t="s">
        <v>178</v>
      </c>
      <c r="B79" s="2" t="s">
        <v>179</v>
      </c>
      <c r="C79" s="2" t="s">
        <v>180</v>
      </c>
      <c r="D79" s="3">
        <v>23532.31</v>
      </c>
      <c r="E79" s="4">
        <v>46114</v>
      </c>
      <c r="F79" s="4">
        <v>46142</v>
      </c>
      <c r="G79" s="5">
        <f>IF(Controls!$B$2&gt;F79,Controls!$B$2-F79,0)</f>
        <v>0</v>
      </c>
      <c r="H79" s="5" t="str">
        <f t="shared" si="1"/>
        <v>0-30</v>
      </c>
    </row>
    <row r="80" spans="1:8" x14ac:dyDescent="0.3">
      <c r="A80" s="2" t="s">
        <v>181</v>
      </c>
      <c r="B80" s="2" t="s">
        <v>182</v>
      </c>
      <c r="C80" s="2" t="s">
        <v>183</v>
      </c>
      <c r="D80" s="3">
        <v>10419.43</v>
      </c>
      <c r="E80" s="4">
        <v>46123</v>
      </c>
      <c r="F80" s="4">
        <v>46146</v>
      </c>
      <c r="G80" s="5">
        <f>IF(Controls!$B$2&gt;F80,Controls!$B$2-F80,0)</f>
        <v>0</v>
      </c>
      <c r="H80" s="5" t="str">
        <f t="shared" si="1"/>
        <v>0-30</v>
      </c>
    </row>
    <row r="81" spans="1:8" x14ac:dyDescent="0.3">
      <c r="A81" s="2" t="s">
        <v>174</v>
      </c>
      <c r="B81" s="2" t="s">
        <v>175</v>
      </c>
      <c r="C81" s="2" t="s">
        <v>184</v>
      </c>
      <c r="D81" s="3">
        <v>22819.65</v>
      </c>
      <c r="E81" s="4">
        <v>45986</v>
      </c>
      <c r="F81" s="4">
        <v>46031</v>
      </c>
      <c r="G81" s="5">
        <f>IF(Controls!$B$2&gt;F81,Controls!$B$2-F81,0)</f>
        <v>75</v>
      </c>
      <c r="H81" s="5" t="str">
        <f t="shared" si="1"/>
        <v>60+</v>
      </c>
    </row>
    <row r="82" spans="1:8" x14ac:dyDescent="0.3">
      <c r="A82" s="2" t="s">
        <v>174</v>
      </c>
      <c r="B82" s="2" t="s">
        <v>175</v>
      </c>
      <c r="C82" s="2" t="s">
        <v>185</v>
      </c>
      <c r="D82" s="3">
        <v>18541.05</v>
      </c>
      <c r="E82" s="4">
        <v>46002</v>
      </c>
      <c r="F82" s="4">
        <v>46033</v>
      </c>
      <c r="G82" s="5">
        <f>IF(Controls!$B$2&gt;F82,Controls!$B$2-F82,0)</f>
        <v>73</v>
      </c>
      <c r="H82" s="5" t="str">
        <f t="shared" si="1"/>
        <v>60+</v>
      </c>
    </row>
    <row r="83" spans="1:8" x14ac:dyDescent="0.3">
      <c r="A83" s="2" t="s">
        <v>178</v>
      </c>
      <c r="B83" s="2" t="s">
        <v>179</v>
      </c>
      <c r="C83" s="2" t="s">
        <v>186</v>
      </c>
      <c r="D83" s="3">
        <v>7695.7</v>
      </c>
      <c r="E83" s="4">
        <v>45977</v>
      </c>
      <c r="F83" s="4">
        <v>46034</v>
      </c>
      <c r="G83" s="5">
        <f>IF(Controls!$B$2&gt;F83,Controls!$B$2-F83,0)</f>
        <v>72</v>
      </c>
      <c r="H83" s="5" t="str">
        <f t="shared" si="1"/>
        <v>60+</v>
      </c>
    </row>
    <row r="84" spans="1:8" x14ac:dyDescent="0.3">
      <c r="A84" s="2" t="s">
        <v>187</v>
      </c>
      <c r="B84" s="2" t="s">
        <v>188</v>
      </c>
      <c r="C84" s="2" t="s">
        <v>189</v>
      </c>
      <c r="D84" s="3">
        <v>2110.4699999999998</v>
      </c>
      <c r="E84" s="4">
        <v>45995</v>
      </c>
      <c r="F84" s="4">
        <v>46041</v>
      </c>
      <c r="G84" s="5">
        <f>IF(Controls!$B$2&gt;F84,Controls!$B$2-F84,0)</f>
        <v>65</v>
      </c>
      <c r="H84" s="5" t="str">
        <f t="shared" si="1"/>
        <v>60+</v>
      </c>
    </row>
    <row r="85" spans="1:8" x14ac:dyDescent="0.3">
      <c r="A85" s="2" t="s">
        <v>60</v>
      </c>
      <c r="B85" s="2" t="s">
        <v>61</v>
      </c>
      <c r="C85" s="2" t="s">
        <v>190</v>
      </c>
      <c r="D85" s="3">
        <v>24912.76</v>
      </c>
      <c r="E85" s="4">
        <v>46093</v>
      </c>
      <c r="F85" s="4">
        <v>46135</v>
      </c>
      <c r="G85" s="5">
        <f>IF(Controls!$B$2&gt;F85,Controls!$B$2-F85,0)</f>
        <v>0</v>
      </c>
      <c r="H85" s="5" t="str">
        <f t="shared" si="1"/>
        <v>0-30</v>
      </c>
    </row>
    <row r="86" spans="1:8" x14ac:dyDescent="0.3">
      <c r="A86" s="2" t="s">
        <v>51</v>
      </c>
      <c r="B86" s="2" t="s">
        <v>52</v>
      </c>
      <c r="C86" s="2" t="s">
        <v>191</v>
      </c>
      <c r="D86" s="3">
        <v>4573.7</v>
      </c>
      <c r="E86" s="4">
        <v>46025</v>
      </c>
      <c r="F86" s="4">
        <v>46045</v>
      </c>
      <c r="G86" s="5">
        <f>IF(Controls!$B$2&gt;F86,Controls!$B$2-F86,0)</f>
        <v>61</v>
      </c>
      <c r="H86" s="5" t="str">
        <f t="shared" si="1"/>
        <v>60+</v>
      </c>
    </row>
    <row r="87" spans="1:8" x14ac:dyDescent="0.3">
      <c r="A87" s="2" t="s">
        <v>192</v>
      </c>
      <c r="B87" s="2" t="s">
        <v>193</v>
      </c>
      <c r="C87" s="2" t="s">
        <v>194</v>
      </c>
      <c r="D87" s="3">
        <v>6644.35</v>
      </c>
      <c r="E87" s="4">
        <v>46017</v>
      </c>
      <c r="F87" s="4">
        <v>46044</v>
      </c>
      <c r="G87" s="5">
        <f>IF(Controls!$B$2&gt;F87,Controls!$B$2-F87,0)</f>
        <v>62</v>
      </c>
      <c r="H87" s="5" t="str">
        <f t="shared" si="1"/>
        <v>60+</v>
      </c>
    </row>
    <row r="88" spans="1:8" x14ac:dyDescent="0.3">
      <c r="A88" s="2" t="s">
        <v>78</v>
      </c>
      <c r="B88" s="2" t="s">
        <v>79</v>
      </c>
      <c r="C88" s="2" t="s">
        <v>195</v>
      </c>
      <c r="D88" s="3">
        <v>10466.35</v>
      </c>
      <c r="E88" s="4">
        <v>46005</v>
      </c>
      <c r="F88" s="4">
        <v>46053</v>
      </c>
      <c r="G88" s="5">
        <f>IF(Controls!$B$2&gt;F88,Controls!$B$2-F88,0)</f>
        <v>53</v>
      </c>
      <c r="H88" s="5" t="str">
        <f t="shared" si="1"/>
        <v>31-60</v>
      </c>
    </row>
    <row r="89" spans="1:8" x14ac:dyDescent="0.3">
      <c r="A89" s="2" t="s">
        <v>89</v>
      </c>
      <c r="B89" s="2" t="s">
        <v>90</v>
      </c>
      <c r="C89" s="2" t="s">
        <v>196</v>
      </c>
      <c r="D89" s="3">
        <v>1785.97</v>
      </c>
      <c r="E89" s="4">
        <v>46030</v>
      </c>
      <c r="F89" s="4">
        <v>46081</v>
      </c>
      <c r="G89" s="5">
        <f>IF(Controls!$B$2&gt;F89,Controls!$B$2-F89,0)</f>
        <v>25</v>
      </c>
      <c r="H89" s="5" t="str">
        <f t="shared" si="1"/>
        <v>0-30</v>
      </c>
    </row>
    <row r="90" spans="1:8" x14ac:dyDescent="0.3">
      <c r="A90" s="2" t="s">
        <v>197</v>
      </c>
      <c r="B90" s="2" t="s">
        <v>198</v>
      </c>
      <c r="C90" s="2" t="s">
        <v>199</v>
      </c>
      <c r="D90" s="3">
        <v>12709.04</v>
      </c>
      <c r="E90" s="4">
        <v>46008</v>
      </c>
      <c r="F90" s="4">
        <v>46036</v>
      </c>
      <c r="G90" s="5">
        <f>IF(Controls!$B$2&gt;F90,Controls!$B$2-F90,0)</f>
        <v>70</v>
      </c>
      <c r="H90" s="5" t="str">
        <f t="shared" si="1"/>
        <v>60+</v>
      </c>
    </row>
    <row r="91" spans="1:8" x14ac:dyDescent="0.3">
      <c r="A91" s="2" t="s">
        <v>75</v>
      </c>
      <c r="B91" s="2" t="s">
        <v>76</v>
      </c>
      <c r="C91" s="2" t="s">
        <v>200</v>
      </c>
      <c r="D91" s="3">
        <v>6399.23</v>
      </c>
      <c r="E91" s="4">
        <v>46009</v>
      </c>
      <c r="F91" s="4">
        <v>46065</v>
      </c>
      <c r="G91" s="5">
        <f>IF(Controls!$B$2&gt;F91,Controls!$B$2-F91,0)</f>
        <v>41</v>
      </c>
      <c r="H91" s="5" t="str">
        <f t="shared" si="1"/>
        <v>31-60</v>
      </c>
    </row>
    <row r="92" spans="1:8" x14ac:dyDescent="0.3">
      <c r="A92" s="2" t="s">
        <v>60</v>
      </c>
      <c r="B92" s="2" t="s">
        <v>61</v>
      </c>
      <c r="C92" s="2" t="s">
        <v>201</v>
      </c>
      <c r="D92" s="3">
        <v>7972.4</v>
      </c>
      <c r="E92" s="4">
        <v>46057</v>
      </c>
      <c r="F92" s="4">
        <v>46099</v>
      </c>
      <c r="G92" s="5">
        <f>IF(Controls!$B$2&gt;F92,Controls!$B$2-F92,0)</f>
        <v>7</v>
      </c>
      <c r="H92" s="5" t="str">
        <f t="shared" si="1"/>
        <v>0-30</v>
      </c>
    </row>
    <row r="93" spans="1:8" x14ac:dyDescent="0.3">
      <c r="A93" s="2" t="s">
        <v>45</v>
      </c>
      <c r="B93" s="2" t="s">
        <v>46</v>
      </c>
      <c r="C93" s="2" t="s">
        <v>202</v>
      </c>
      <c r="D93" s="3">
        <v>12373.15</v>
      </c>
      <c r="E93" s="4">
        <v>46071</v>
      </c>
      <c r="F93" s="4">
        <v>46111</v>
      </c>
      <c r="G93" s="5">
        <f>IF(Controls!$B$2&gt;F93,Controls!$B$2-F93,0)</f>
        <v>0</v>
      </c>
      <c r="H93" s="5" t="str">
        <f t="shared" si="1"/>
        <v>0-30</v>
      </c>
    </row>
    <row r="94" spans="1:8" x14ac:dyDescent="0.3">
      <c r="A94" s="2" t="s">
        <v>48</v>
      </c>
      <c r="B94" s="2" t="s">
        <v>49</v>
      </c>
      <c r="C94" s="2" t="s">
        <v>203</v>
      </c>
      <c r="D94" s="3">
        <v>24312.97</v>
      </c>
      <c r="E94" s="4">
        <v>46101</v>
      </c>
      <c r="F94" s="4">
        <v>46122</v>
      </c>
      <c r="G94" s="5">
        <f>IF(Controls!$B$2&gt;F94,Controls!$B$2-F94,0)</f>
        <v>0</v>
      </c>
      <c r="H94" s="5" t="str">
        <f t="shared" si="1"/>
        <v>0-30</v>
      </c>
    </row>
    <row r="95" spans="1:8" x14ac:dyDescent="0.3">
      <c r="A95" s="2" t="s">
        <v>132</v>
      </c>
      <c r="B95" s="2" t="s">
        <v>133</v>
      </c>
      <c r="C95" s="2" t="s">
        <v>204</v>
      </c>
      <c r="D95" s="3">
        <v>17131.36</v>
      </c>
      <c r="E95" s="4">
        <v>46026</v>
      </c>
      <c r="F95" s="4">
        <v>46043</v>
      </c>
      <c r="G95" s="5">
        <f>IF(Controls!$B$2&gt;F95,Controls!$B$2-F95,0)</f>
        <v>63</v>
      </c>
      <c r="H95" s="5" t="str">
        <f t="shared" si="1"/>
        <v>60+</v>
      </c>
    </row>
    <row r="96" spans="1:8" x14ac:dyDescent="0.3">
      <c r="A96" s="2" t="s">
        <v>205</v>
      </c>
      <c r="B96" s="2" t="s">
        <v>206</v>
      </c>
      <c r="C96" s="2" t="s">
        <v>207</v>
      </c>
      <c r="D96" s="3">
        <v>23018.02</v>
      </c>
      <c r="E96" s="4">
        <v>45974</v>
      </c>
      <c r="F96" s="4">
        <v>46034</v>
      </c>
      <c r="G96" s="5">
        <f>IF(Controls!$B$2&gt;F96,Controls!$B$2-F96,0)</f>
        <v>72</v>
      </c>
      <c r="H96" s="5" t="str">
        <f t="shared" si="1"/>
        <v>60+</v>
      </c>
    </row>
    <row r="97" spans="1:8" x14ac:dyDescent="0.3">
      <c r="A97" s="2" t="s">
        <v>129</v>
      </c>
      <c r="B97" s="2" t="s">
        <v>130</v>
      </c>
      <c r="C97" s="2" t="s">
        <v>208</v>
      </c>
      <c r="D97" s="3">
        <v>15755.2</v>
      </c>
      <c r="E97" s="4">
        <v>46085</v>
      </c>
      <c r="F97" s="4">
        <v>46140</v>
      </c>
      <c r="G97" s="5">
        <f>IF(Controls!$B$2&gt;F97,Controls!$B$2-F97,0)</f>
        <v>0</v>
      </c>
      <c r="H97" s="5" t="str">
        <f t="shared" si="1"/>
        <v>0-30</v>
      </c>
    </row>
    <row r="98" spans="1:8" x14ac:dyDescent="0.3">
      <c r="A98" s="2" t="s">
        <v>209</v>
      </c>
      <c r="B98" s="2" t="s">
        <v>210</v>
      </c>
      <c r="C98" s="2" t="s">
        <v>211</v>
      </c>
      <c r="D98" s="3">
        <v>7683.64</v>
      </c>
      <c r="E98" s="4">
        <v>46015</v>
      </c>
      <c r="F98" s="4">
        <v>46042</v>
      </c>
      <c r="G98" s="5">
        <f>IF(Controls!$B$2&gt;F98,Controls!$B$2-F98,0)</f>
        <v>64</v>
      </c>
      <c r="H98" s="5" t="str">
        <f t="shared" si="1"/>
        <v>60+</v>
      </c>
    </row>
    <row r="99" spans="1:8" x14ac:dyDescent="0.3">
      <c r="A99" s="2" t="s">
        <v>212</v>
      </c>
      <c r="B99" s="2" t="s">
        <v>213</v>
      </c>
      <c r="C99" s="2" t="s">
        <v>214</v>
      </c>
      <c r="D99" s="3">
        <v>19814.560000000001</v>
      </c>
      <c r="E99" s="4">
        <v>46101</v>
      </c>
      <c r="F99" s="4">
        <v>46116</v>
      </c>
      <c r="G99" s="5">
        <f>IF(Controls!$B$2&gt;F99,Controls!$B$2-F99,0)</f>
        <v>0</v>
      </c>
      <c r="H99" s="5" t="str">
        <f t="shared" si="1"/>
        <v>0-30</v>
      </c>
    </row>
    <row r="100" spans="1:8" x14ac:dyDescent="0.3">
      <c r="A100" s="2" t="s">
        <v>215</v>
      </c>
      <c r="B100" s="2" t="s">
        <v>216</v>
      </c>
      <c r="C100" s="2" t="s">
        <v>217</v>
      </c>
      <c r="D100" s="3">
        <v>11652.09</v>
      </c>
      <c r="E100" s="4">
        <v>46020</v>
      </c>
      <c r="F100" s="4">
        <v>46076</v>
      </c>
      <c r="G100" s="5">
        <f>IF(Controls!$B$2&gt;F100,Controls!$B$2-F100,0)</f>
        <v>30</v>
      </c>
      <c r="H100" s="5" t="str">
        <f t="shared" si="1"/>
        <v>0-30</v>
      </c>
    </row>
    <row r="101" spans="1:8" x14ac:dyDescent="0.3">
      <c r="A101" s="2" t="s">
        <v>145</v>
      </c>
      <c r="B101" s="2" t="s">
        <v>146</v>
      </c>
      <c r="C101" s="2" t="s">
        <v>218</v>
      </c>
      <c r="D101" s="3">
        <v>6060.51</v>
      </c>
      <c r="E101" s="4">
        <v>46029</v>
      </c>
      <c r="F101" s="4">
        <v>46070</v>
      </c>
      <c r="G101" s="5">
        <f>IF(Controls!$B$2&gt;F101,Controls!$B$2-F101,0)</f>
        <v>36</v>
      </c>
      <c r="H101" s="5" t="str">
        <f t="shared" si="1"/>
        <v>31-60</v>
      </c>
    </row>
    <row r="102" spans="1:8" x14ac:dyDescent="0.3">
      <c r="A102" s="2" t="s">
        <v>219</v>
      </c>
      <c r="B102" s="2" t="s">
        <v>220</v>
      </c>
      <c r="C102" s="2" t="s">
        <v>221</v>
      </c>
      <c r="D102" s="3">
        <v>5054.3500000000004</v>
      </c>
      <c r="E102" s="4">
        <v>45974</v>
      </c>
      <c r="F102" s="4">
        <v>46030</v>
      </c>
      <c r="G102" s="5">
        <f>IF(Controls!$B$2&gt;F102,Controls!$B$2-F102,0)</f>
        <v>76</v>
      </c>
      <c r="H102" s="5" t="str">
        <f t="shared" si="1"/>
        <v>60+</v>
      </c>
    </row>
    <row r="103" spans="1:8" x14ac:dyDescent="0.3">
      <c r="A103" s="2" t="s">
        <v>222</v>
      </c>
      <c r="B103" s="2" t="s">
        <v>223</v>
      </c>
      <c r="C103" s="2" t="s">
        <v>224</v>
      </c>
      <c r="D103" s="3">
        <v>5889.05</v>
      </c>
      <c r="E103" s="4">
        <v>46024</v>
      </c>
      <c r="F103" s="4">
        <v>46062</v>
      </c>
      <c r="G103" s="5">
        <f>IF(Controls!$B$2&gt;F103,Controls!$B$2-F103,0)</f>
        <v>44</v>
      </c>
      <c r="H103" s="5" t="str">
        <f t="shared" si="1"/>
        <v>31-60</v>
      </c>
    </row>
    <row r="104" spans="1:8" x14ac:dyDescent="0.3">
      <c r="A104" s="2" t="s">
        <v>7</v>
      </c>
      <c r="B104" s="2" t="s">
        <v>8</v>
      </c>
      <c r="C104" s="2" t="s">
        <v>225</v>
      </c>
      <c r="D104" s="3">
        <v>17471.61</v>
      </c>
      <c r="E104" s="4">
        <v>46008</v>
      </c>
      <c r="F104" s="4">
        <v>46048</v>
      </c>
      <c r="G104" s="5">
        <f>IF(Controls!$B$2&gt;F104,Controls!$B$2-F104,0)</f>
        <v>58</v>
      </c>
      <c r="H104" s="5" t="str">
        <f t="shared" si="1"/>
        <v>31-60</v>
      </c>
    </row>
    <row r="105" spans="1:8" x14ac:dyDescent="0.3">
      <c r="A105" s="2" t="s">
        <v>170</v>
      </c>
      <c r="B105" s="2" t="s">
        <v>171</v>
      </c>
      <c r="C105" s="2" t="s">
        <v>226</v>
      </c>
      <c r="D105" s="3">
        <v>12745.74</v>
      </c>
      <c r="E105" s="4">
        <v>46033</v>
      </c>
      <c r="F105" s="4">
        <v>46079</v>
      </c>
      <c r="G105" s="5">
        <f>IF(Controls!$B$2&gt;F105,Controls!$B$2-F105,0)</f>
        <v>27</v>
      </c>
      <c r="H105" s="5" t="str">
        <f t="shared" si="1"/>
        <v>0-30</v>
      </c>
    </row>
    <row r="106" spans="1:8" x14ac:dyDescent="0.3">
      <c r="A106" s="2" t="s">
        <v>219</v>
      </c>
      <c r="B106" s="2" t="s">
        <v>220</v>
      </c>
      <c r="C106" s="2" t="s">
        <v>227</v>
      </c>
      <c r="D106" s="3">
        <v>5049.8500000000004</v>
      </c>
      <c r="E106" s="4">
        <v>46017</v>
      </c>
      <c r="F106" s="4">
        <v>46046</v>
      </c>
      <c r="G106" s="5">
        <f>IF(Controls!$B$2&gt;F106,Controls!$B$2-F106,0)</f>
        <v>60</v>
      </c>
      <c r="H106" s="5" t="str">
        <f t="shared" si="1"/>
        <v>31-60</v>
      </c>
    </row>
    <row r="107" spans="1:8" x14ac:dyDescent="0.3">
      <c r="A107" s="2" t="s">
        <v>170</v>
      </c>
      <c r="B107" s="2" t="s">
        <v>171</v>
      </c>
      <c r="C107" s="2" t="s">
        <v>228</v>
      </c>
      <c r="D107" s="3">
        <v>15684.03</v>
      </c>
      <c r="E107" s="4">
        <v>46012</v>
      </c>
      <c r="F107" s="4">
        <v>46038</v>
      </c>
      <c r="G107" s="5">
        <f>IF(Controls!$B$2&gt;F107,Controls!$B$2-F107,0)</f>
        <v>68</v>
      </c>
      <c r="H107" s="5" t="str">
        <f t="shared" si="1"/>
        <v>60+</v>
      </c>
    </row>
    <row r="108" spans="1:8" x14ac:dyDescent="0.3">
      <c r="A108" s="2" t="s">
        <v>92</v>
      </c>
      <c r="B108" s="2" t="s">
        <v>93</v>
      </c>
      <c r="C108" s="2" t="s">
        <v>229</v>
      </c>
      <c r="D108" s="3">
        <v>22782.3</v>
      </c>
      <c r="E108" s="4">
        <v>46070</v>
      </c>
      <c r="F108" s="4">
        <v>46094</v>
      </c>
      <c r="G108" s="5">
        <f>IF(Controls!$B$2&gt;F108,Controls!$B$2-F108,0)</f>
        <v>12</v>
      </c>
      <c r="H108" s="5" t="str">
        <f t="shared" si="1"/>
        <v>0-30</v>
      </c>
    </row>
    <row r="109" spans="1:8" x14ac:dyDescent="0.3">
      <c r="A109" s="2" t="s">
        <v>181</v>
      </c>
      <c r="B109" s="2" t="s">
        <v>182</v>
      </c>
      <c r="C109" s="2" t="s">
        <v>230</v>
      </c>
      <c r="D109" s="3">
        <v>24359.46</v>
      </c>
      <c r="E109" s="4">
        <v>46057</v>
      </c>
      <c r="F109" s="4">
        <v>46098</v>
      </c>
      <c r="G109" s="5">
        <f>IF(Controls!$B$2&gt;F109,Controls!$B$2-F109,0)</f>
        <v>8</v>
      </c>
      <c r="H109" s="5" t="str">
        <f t="shared" si="1"/>
        <v>0-30</v>
      </c>
    </row>
    <row r="110" spans="1:8" x14ac:dyDescent="0.3">
      <c r="A110" s="2" t="s">
        <v>181</v>
      </c>
      <c r="B110" s="2" t="s">
        <v>182</v>
      </c>
      <c r="C110" s="2" t="s">
        <v>231</v>
      </c>
      <c r="D110" s="3">
        <v>4806.59</v>
      </c>
      <c r="E110" s="4">
        <v>45988</v>
      </c>
      <c r="F110" s="4">
        <v>46048</v>
      </c>
      <c r="G110" s="5">
        <f>IF(Controls!$B$2&gt;F110,Controls!$B$2-F110,0)</f>
        <v>58</v>
      </c>
      <c r="H110" s="5" t="str">
        <f t="shared" si="1"/>
        <v>31-60</v>
      </c>
    </row>
    <row r="111" spans="1:8" x14ac:dyDescent="0.3">
      <c r="A111" s="2" t="s">
        <v>209</v>
      </c>
      <c r="B111" s="2" t="s">
        <v>210</v>
      </c>
      <c r="C111" s="2" t="s">
        <v>232</v>
      </c>
      <c r="D111" s="3">
        <v>23306.99</v>
      </c>
      <c r="E111" s="4">
        <v>46101</v>
      </c>
      <c r="F111" s="4">
        <v>46128</v>
      </c>
      <c r="G111" s="5">
        <f>IF(Controls!$B$2&gt;F111,Controls!$B$2-F111,0)</f>
        <v>0</v>
      </c>
      <c r="H111" s="5" t="str">
        <f t="shared" si="1"/>
        <v>0-30</v>
      </c>
    </row>
    <row r="112" spans="1:8" x14ac:dyDescent="0.3">
      <c r="A112" s="2" t="s">
        <v>48</v>
      </c>
      <c r="B112" s="2" t="s">
        <v>49</v>
      </c>
      <c r="C112" s="2" t="s">
        <v>233</v>
      </c>
      <c r="D112" s="3">
        <v>1039.3699999999999</v>
      </c>
      <c r="E112" s="4">
        <v>45981</v>
      </c>
      <c r="F112" s="4">
        <v>46020</v>
      </c>
      <c r="G112" s="5">
        <f>IF(Controls!$B$2&gt;F112,Controls!$B$2-F112,0)</f>
        <v>86</v>
      </c>
      <c r="H112" s="5" t="str">
        <f t="shared" si="1"/>
        <v>60+</v>
      </c>
    </row>
    <row r="113" spans="1:8" x14ac:dyDescent="0.3">
      <c r="A113" s="2" t="s">
        <v>234</v>
      </c>
      <c r="B113" s="2" t="s">
        <v>235</v>
      </c>
      <c r="C113" s="2" t="s">
        <v>236</v>
      </c>
      <c r="D113" s="3">
        <v>2946.7</v>
      </c>
      <c r="E113" s="4">
        <v>46054</v>
      </c>
      <c r="F113" s="4">
        <v>46091</v>
      </c>
      <c r="G113" s="5">
        <f>IF(Controls!$B$2&gt;F113,Controls!$B$2-F113,0)</f>
        <v>15</v>
      </c>
      <c r="H113" s="5" t="str">
        <f t="shared" si="1"/>
        <v>0-30</v>
      </c>
    </row>
    <row r="114" spans="1:8" x14ac:dyDescent="0.3">
      <c r="A114" s="2" t="s">
        <v>13</v>
      </c>
      <c r="B114" s="2" t="s">
        <v>14</v>
      </c>
      <c r="C114" s="2" t="s">
        <v>237</v>
      </c>
      <c r="D114" s="3">
        <v>19030.419999999998</v>
      </c>
      <c r="E114" s="4">
        <v>46020</v>
      </c>
      <c r="F114" s="4">
        <v>46057</v>
      </c>
      <c r="G114" s="5">
        <f>IF(Controls!$B$2&gt;F114,Controls!$B$2-F114,0)</f>
        <v>49</v>
      </c>
      <c r="H114" s="5" t="str">
        <f t="shared" si="1"/>
        <v>31-60</v>
      </c>
    </row>
    <row r="115" spans="1:8" x14ac:dyDescent="0.3">
      <c r="A115" s="2" t="s">
        <v>219</v>
      </c>
      <c r="B115" s="2" t="s">
        <v>220</v>
      </c>
      <c r="C115" s="2" t="s">
        <v>238</v>
      </c>
      <c r="D115" s="3">
        <v>10953.12</v>
      </c>
      <c r="E115" s="4">
        <v>46050</v>
      </c>
      <c r="F115" s="4">
        <v>46110</v>
      </c>
      <c r="G115" s="5">
        <f>IF(Controls!$B$2&gt;F115,Controls!$B$2-F115,0)</f>
        <v>0</v>
      </c>
      <c r="H115" s="5" t="str">
        <f t="shared" si="1"/>
        <v>0-30</v>
      </c>
    </row>
    <row r="116" spans="1:8" x14ac:dyDescent="0.3">
      <c r="A116" s="2" t="s">
        <v>239</v>
      </c>
      <c r="B116" s="2" t="s">
        <v>240</v>
      </c>
      <c r="C116" s="2" t="s">
        <v>241</v>
      </c>
      <c r="D116" s="3">
        <v>11297.1</v>
      </c>
      <c r="E116" s="4">
        <v>46026</v>
      </c>
      <c r="F116" s="4">
        <v>46064</v>
      </c>
      <c r="G116" s="5">
        <f>IF(Controls!$B$2&gt;F116,Controls!$B$2-F116,0)</f>
        <v>42</v>
      </c>
      <c r="H116" s="5" t="str">
        <f t="shared" si="1"/>
        <v>31-60</v>
      </c>
    </row>
    <row r="117" spans="1:8" x14ac:dyDescent="0.3">
      <c r="A117" s="2" t="s">
        <v>45</v>
      </c>
      <c r="B117" s="2" t="s">
        <v>46</v>
      </c>
      <c r="C117" s="2" t="s">
        <v>242</v>
      </c>
      <c r="D117" s="3">
        <v>10417.35</v>
      </c>
      <c r="E117" s="4">
        <v>45996</v>
      </c>
      <c r="F117" s="4">
        <v>46036</v>
      </c>
      <c r="G117" s="5">
        <f>IF(Controls!$B$2&gt;F117,Controls!$B$2-F117,0)</f>
        <v>70</v>
      </c>
      <c r="H117" s="5" t="str">
        <f t="shared" si="1"/>
        <v>60+</v>
      </c>
    </row>
    <row r="118" spans="1:8" x14ac:dyDescent="0.3">
      <c r="A118" s="2" t="s">
        <v>136</v>
      </c>
      <c r="B118" s="2" t="s">
        <v>137</v>
      </c>
      <c r="C118" s="2" t="s">
        <v>243</v>
      </c>
      <c r="D118" s="3">
        <v>11735.25</v>
      </c>
      <c r="E118" s="4">
        <v>46075</v>
      </c>
      <c r="F118" s="4">
        <v>46094</v>
      </c>
      <c r="G118" s="5">
        <f>IF(Controls!$B$2&gt;F118,Controls!$B$2-F118,0)</f>
        <v>12</v>
      </c>
      <c r="H118" s="5" t="str">
        <f t="shared" si="1"/>
        <v>0-30</v>
      </c>
    </row>
    <row r="119" spans="1:8" x14ac:dyDescent="0.3">
      <c r="A119" s="2" t="s">
        <v>95</v>
      </c>
      <c r="B119" s="2" t="s">
        <v>96</v>
      </c>
      <c r="C119" s="2" t="s">
        <v>244</v>
      </c>
      <c r="D119" s="3">
        <v>8540.5300000000007</v>
      </c>
      <c r="E119" s="4">
        <v>46036</v>
      </c>
      <c r="F119" s="4">
        <v>46096</v>
      </c>
      <c r="G119" s="5">
        <f>IF(Controls!$B$2&gt;F119,Controls!$B$2-F119,0)</f>
        <v>10</v>
      </c>
      <c r="H119" s="5" t="str">
        <f t="shared" si="1"/>
        <v>0-30</v>
      </c>
    </row>
    <row r="120" spans="1:8" x14ac:dyDescent="0.3">
      <c r="A120" s="2" t="s">
        <v>86</v>
      </c>
      <c r="B120" s="2" t="s">
        <v>87</v>
      </c>
      <c r="C120" s="2" t="s">
        <v>245</v>
      </c>
      <c r="D120" s="3">
        <v>18108.91</v>
      </c>
      <c r="E120" s="4">
        <v>45985</v>
      </c>
      <c r="F120" s="4">
        <v>46040</v>
      </c>
      <c r="G120" s="5">
        <f>IF(Controls!$B$2&gt;F120,Controls!$B$2-F120,0)</f>
        <v>66</v>
      </c>
      <c r="H120" s="5" t="str">
        <f t="shared" si="1"/>
        <v>60+</v>
      </c>
    </row>
    <row r="121" spans="1:8" x14ac:dyDescent="0.3">
      <c r="A121" s="2" t="s">
        <v>246</v>
      </c>
      <c r="B121" s="2" t="s">
        <v>247</v>
      </c>
      <c r="C121" s="2" t="s">
        <v>248</v>
      </c>
      <c r="D121" s="3">
        <v>6038.19</v>
      </c>
      <c r="E121" s="4">
        <v>45996</v>
      </c>
      <c r="F121" s="4">
        <v>46056</v>
      </c>
      <c r="G121" s="5">
        <f>IF(Controls!$B$2&gt;F121,Controls!$B$2-F121,0)</f>
        <v>50</v>
      </c>
      <c r="H121" s="5" t="str">
        <f t="shared" si="1"/>
        <v>31-60</v>
      </c>
    </row>
    <row r="122" spans="1:8" x14ac:dyDescent="0.3">
      <c r="A122" s="2" t="s">
        <v>22</v>
      </c>
      <c r="B122" s="2" t="s">
        <v>23</v>
      </c>
      <c r="C122" s="2" t="s">
        <v>249</v>
      </c>
      <c r="D122" s="3">
        <v>9816.24</v>
      </c>
      <c r="E122" s="4">
        <v>46081</v>
      </c>
      <c r="F122" s="4">
        <v>46123</v>
      </c>
      <c r="G122" s="5">
        <f>IF(Controls!$B$2&gt;F122,Controls!$B$2-F122,0)</f>
        <v>0</v>
      </c>
      <c r="H122" s="5" t="str">
        <f t="shared" si="1"/>
        <v>0-30</v>
      </c>
    </row>
    <row r="123" spans="1:8" x14ac:dyDescent="0.3">
      <c r="A123" s="2" t="s">
        <v>205</v>
      </c>
      <c r="B123" s="2" t="s">
        <v>206</v>
      </c>
      <c r="C123" s="2" t="s">
        <v>250</v>
      </c>
      <c r="D123" s="3">
        <v>4777.75</v>
      </c>
      <c r="E123" s="4">
        <v>46067</v>
      </c>
      <c r="F123" s="4">
        <v>46126</v>
      </c>
      <c r="G123" s="5">
        <f>IF(Controls!$B$2&gt;F123,Controls!$B$2-F123,0)</f>
        <v>0</v>
      </c>
      <c r="H123" s="5" t="str">
        <f t="shared" si="1"/>
        <v>0-30</v>
      </c>
    </row>
    <row r="124" spans="1:8" x14ac:dyDescent="0.3">
      <c r="A124" s="2" t="s">
        <v>251</v>
      </c>
      <c r="B124" s="2" t="s">
        <v>252</v>
      </c>
      <c r="C124" s="2" t="s">
        <v>253</v>
      </c>
      <c r="D124" s="3">
        <v>21565.75</v>
      </c>
      <c r="E124" s="4">
        <v>46020</v>
      </c>
      <c r="F124" s="4">
        <v>46058</v>
      </c>
      <c r="G124" s="5">
        <f>IF(Controls!$B$2&gt;F124,Controls!$B$2-F124,0)</f>
        <v>48</v>
      </c>
      <c r="H124" s="5" t="str">
        <f t="shared" si="1"/>
        <v>31-60</v>
      </c>
    </row>
    <row r="125" spans="1:8" x14ac:dyDescent="0.3">
      <c r="A125" s="2" t="s">
        <v>117</v>
      </c>
      <c r="B125" s="2" t="s">
        <v>118</v>
      </c>
      <c r="C125" s="2" t="s">
        <v>254</v>
      </c>
      <c r="D125" s="3">
        <v>5133.47</v>
      </c>
      <c r="E125" s="4">
        <v>45995</v>
      </c>
      <c r="F125" s="4">
        <v>46020</v>
      </c>
      <c r="G125" s="5">
        <f>IF(Controls!$B$2&gt;F125,Controls!$B$2-F125,0)</f>
        <v>86</v>
      </c>
      <c r="H125" s="5" t="str">
        <f t="shared" si="1"/>
        <v>60+</v>
      </c>
    </row>
    <row r="126" spans="1:8" x14ac:dyDescent="0.3">
      <c r="A126" s="2" t="s">
        <v>145</v>
      </c>
      <c r="B126" s="2" t="s">
        <v>146</v>
      </c>
      <c r="C126" s="2" t="s">
        <v>255</v>
      </c>
      <c r="D126" s="3">
        <v>16326.26</v>
      </c>
      <c r="E126" s="4">
        <v>46005</v>
      </c>
      <c r="F126" s="4">
        <v>46040</v>
      </c>
      <c r="G126" s="5">
        <f>IF(Controls!$B$2&gt;F126,Controls!$B$2-F126,0)</f>
        <v>66</v>
      </c>
      <c r="H126" s="5" t="str">
        <f t="shared" si="1"/>
        <v>60+</v>
      </c>
    </row>
    <row r="127" spans="1:8" x14ac:dyDescent="0.3">
      <c r="A127" s="2" t="s">
        <v>256</v>
      </c>
      <c r="B127" s="2" t="s">
        <v>257</v>
      </c>
      <c r="C127" s="2" t="s">
        <v>258</v>
      </c>
      <c r="D127" s="3">
        <v>24698.639999999999</v>
      </c>
      <c r="E127" s="4">
        <v>46069</v>
      </c>
      <c r="F127" s="4">
        <v>46123</v>
      </c>
      <c r="G127" s="5">
        <f>IF(Controls!$B$2&gt;F127,Controls!$B$2-F127,0)</f>
        <v>0</v>
      </c>
      <c r="H127" s="5" t="str">
        <f t="shared" si="1"/>
        <v>0-30</v>
      </c>
    </row>
    <row r="128" spans="1:8" x14ac:dyDescent="0.3">
      <c r="A128" s="2" t="s">
        <v>159</v>
      </c>
      <c r="B128" s="2" t="s">
        <v>160</v>
      </c>
      <c r="C128" s="2" t="s">
        <v>259</v>
      </c>
      <c r="D128" s="3">
        <v>24713.7</v>
      </c>
      <c r="E128" s="4">
        <v>46021</v>
      </c>
      <c r="F128" s="4">
        <v>46044</v>
      </c>
      <c r="G128" s="5">
        <f>IF(Controls!$B$2&gt;F128,Controls!$B$2-F128,0)</f>
        <v>62</v>
      </c>
      <c r="H128" s="5" t="str">
        <f t="shared" si="1"/>
        <v>60+</v>
      </c>
    </row>
    <row r="129" spans="1:8" x14ac:dyDescent="0.3">
      <c r="A129" s="2" t="s">
        <v>260</v>
      </c>
      <c r="B129" s="2" t="s">
        <v>261</v>
      </c>
      <c r="C129" s="2" t="s">
        <v>262</v>
      </c>
      <c r="D129" s="3">
        <v>6064.6</v>
      </c>
      <c r="E129" s="4">
        <v>46084</v>
      </c>
      <c r="F129" s="4">
        <v>46141</v>
      </c>
      <c r="G129" s="5">
        <f>IF(Controls!$B$2&gt;F129,Controls!$B$2-F129,0)</f>
        <v>0</v>
      </c>
      <c r="H129" s="5" t="str">
        <f t="shared" si="1"/>
        <v>0-30</v>
      </c>
    </row>
    <row r="130" spans="1:8" x14ac:dyDescent="0.3">
      <c r="A130" s="2" t="s">
        <v>170</v>
      </c>
      <c r="B130" s="2" t="s">
        <v>171</v>
      </c>
      <c r="C130" s="2" t="s">
        <v>263</v>
      </c>
      <c r="D130" s="3">
        <v>14280.38</v>
      </c>
      <c r="E130" s="4">
        <v>46038</v>
      </c>
      <c r="F130" s="4">
        <v>46069</v>
      </c>
      <c r="G130" s="5">
        <f>IF(Controls!$B$2&gt;F130,Controls!$B$2-F130,0)</f>
        <v>37</v>
      </c>
      <c r="H130" s="5" t="str">
        <f t="shared" si="1"/>
        <v>31-60</v>
      </c>
    </row>
    <row r="131" spans="1:8" x14ac:dyDescent="0.3">
      <c r="A131" s="2" t="s">
        <v>63</v>
      </c>
      <c r="B131" s="2" t="s">
        <v>64</v>
      </c>
      <c r="C131" s="2" t="s">
        <v>264</v>
      </c>
      <c r="D131" s="3">
        <v>6373.87</v>
      </c>
      <c r="E131" s="4">
        <v>46055</v>
      </c>
      <c r="F131" s="4">
        <v>46085</v>
      </c>
      <c r="G131" s="5">
        <f>IF(Controls!$B$2&gt;F131,Controls!$B$2-F131,0)</f>
        <v>21</v>
      </c>
      <c r="H131" s="5" t="str">
        <f t="shared" ref="H131:H194" si="2">IF(G131&lt;=30,"0-30",IF(G131&lt;=60,"31-60","60+"))</f>
        <v>0-30</v>
      </c>
    </row>
    <row r="132" spans="1:8" x14ac:dyDescent="0.3">
      <c r="A132" s="2" t="s">
        <v>132</v>
      </c>
      <c r="B132" s="2" t="s">
        <v>133</v>
      </c>
      <c r="C132" s="2" t="s">
        <v>265</v>
      </c>
      <c r="D132" s="3">
        <v>22712.31</v>
      </c>
      <c r="E132" s="4">
        <v>46057</v>
      </c>
      <c r="F132" s="4">
        <v>46092</v>
      </c>
      <c r="G132" s="5">
        <f>IF(Controls!$B$2&gt;F132,Controls!$B$2-F132,0)</f>
        <v>14</v>
      </c>
      <c r="H132" s="5" t="str">
        <f t="shared" si="2"/>
        <v>0-30</v>
      </c>
    </row>
    <row r="133" spans="1:8" x14ac:dyDescent="0.3">
      <c r="A133" s="2" t="s">
        <v>246</v>
      </c>
      <c r="B133" s="2" t="s">
        <v>247</v>
      </c>
      <c r="C133" s="2" t="s">
        <v>266</v>
      </c>
      <c r="D133" s="3">
        <v>24813.11</v>
      </c>
      <c r="E133" s="4">
        <v>45981</v>
      </c>
      <c r="F133" s="4">
        <v>46037</v>
      </c>
      <c r="G133" s="5">
        <f>IF(Controls!$B$2&gt;F133,Controls!$B$2-F133,0)</f>
        <v>69</v>
      </c>
      <c r="H133" s="5" t="str">
        <f t="shared" si="2"/>
        <v>60+</v>
      </c>
    </row>
    <row r="134" spans="1:8" x14ac:dyDescent="0.3">
      <c r="A134" s="2" t="s">
        <v>22</v>
      </c>
      <c r="B134" s="2" t="s">
        <v>23</v>
      </c>
      <c r="C134" s="2" t="s">
        <v>267</v>
      </c>
      <c r="D134" s="3">
        <v>2782.73</v>
      </c>
      <c r="E134" s="4">
        <v>46108</v>
      </c>
      <c r="F134" s="4">
        <v>46137</v>
      </c>
      <c r="G134" s="5">
        <f>IF(Controls!$B$2&gt;F134,Controls!$B$2-F134,0)</f>
        <v>0</v>
      </c>
      <c r="H134" s="5" t="str">
        <f t="shared" si="2"/>
        <v>0-30</v>
      </c>
    </row>
    <row r="135" spans="1:8" x14ac:dyDescent="0.3">
      <c r="A135" s="2" t="s">
        <v>239</v>
      </c>
      <c r="B135" s="2" t="s">
        <v>240</v>
      </c>
      <c r="C135" s="2" t="s">
        <v>268</v>
      </c>
      <c r="D135" s="3">
        <v>7518.52</v>
      </c>
      <c r="E135" s="4">
        <v>46083</v>
      </c>
      <c r="F135" s="4">
        <v>46101</v>
      </c>
      <c r="G135" s="5">
        <f>IF(Controls!$B$2&gt;F135,Controls!$B$2-F135,0)</f>
        <v>5</v>
      </c>
      <c r="H135" s="5" t="str">
        <f t="shared" si="2"/>
        <v>0-30</v>
      </c>
    </row>
    <row r="136" spans="1:8" x14ac:dyDescent="0.3">
      <c r="A136" s="2" t="s">
        <v>51</v>
      </c>
      <c r="B136" s="2" t="s">
        <v>52</v>
      </c>
      <c r="C136" s="2" t="s">
        <v>269</v>
      </c>
      <c r="D136" s="3">
        <v>20741.14</v>
      </c>
      <c r="E136" s="4">
        <v>46062</v>
      </c>
      <c r="F136" s="4">
        <v>46081</v>
      </c>
      <c r="G136" s="5">
        <f>IF(Controls!$B$2&gt;F136,Controls!$B$2-F136,0)</f>
        <v>25</v>
      </c>
      <c r="H136" s="5" t="str">
        <f t="shared" si="2"/>
        <v>0-30</v>
      </c>
    </row>
    <row r="137" spans="1:8" x14ac:dyDescent="0.3">
      <c r="A137" s="2" t="s">
        <v>270</v>
      </c>
      <c r="B137" s="2" t="s">
        <v>271</v>
      </c>
      <c r="C137" s="2" t="s">
        <v>272</v>
      </c>
      <c r="D137" s="3">
        <v>6683.72</v>
      </c>
      <c r="E137" s="4">
        <v>46048</v>
      </c>
      <c r="F137" s="4">
        <v>46101</v>
      </c>
      <c r="G137" s="5">
        <f>IF(Controls!$B$2&gt;F137,Controls!$B$2-F137,0)</f>
        <v>5</v>
      </c>
      <c r="H137" s="5" t="str">
        <f t="shared" si="2"/>
        <v>0-30</v>
      </c>
    </row>
    <row r="138" spans="1:8" x14ac:dyDescent="0.3">
      <c r="A138" s="2" t="s">
        <v>25</v>
      </c>
      <c r="B138" s="2" t="s">
        <v>26</v>
      </c>
      <c r="C138" s="2" t="s">
        <v>273</v>
      </c>
      <c r="D138" s="3">
        <v>9375.5400000000009</v>
      </c>
      <c r="E138" s="4">
        <v>46081</v>
      </c>
      <c r="F138" s="4">
        <v>46098</v>
      </c>
      <c r="G138" s="5">
        <f>IF(Controls!$B$2&gt;F138,Controls!$B$2-F138,0)</f>
        <v>8</v>
      </c>
      <c r="H138" s="5" t="str">
        <f t="shared" si="2"/>
        <v>0-30</v>
      </c>
    </row>
    <row r="139" spans="1:8" x14ac:dyDescent="0.3">
      <c r="A139" s="2" t="s">
        <v>274</v>
      </c>
      <c r="B139" s="2" t="s">
        <v>275</v>
      </c>
      <c r="C139" s="2" t="s">
        <v>276</v>
      </c>
      <c r="D139" s="3">
        <v>1196.3399999999999</v>
      </c>
      <c r="E139" s="4">
        <v>46120</v>
      </c>
      <c r="F139" s="4">
        <v>46148</v>
      </c>
      <c r="G139" s="5">
        <f>IF(Controls!$B$2&gt;F139,Controls!$B$2-F139,0)</f>
        <v>0</v>
      </c>
      <c r="H139" s="5" t="str">
        <f t="shared" si="2"/>
        <v>0-30</v>
      </c>
    </row>
    <row r="140" spans="1:8" x14ac:dyDescent="0.3">
      <c r="A140" s="2" t="s">
        <v>57</v>
      </c>
      <c r="B140" s="2" t="s">
        <v>58</v>
      </c>
      <c r="C140" s="2" t="s">
        <v>277</v>
      </c>
      <c r="D140" s="3">
        <v>9452.2800000000007</v>
      </c>
      <c r="E140" s="4">
        <v>46045</v>
      </c>
      <c r="F140" s="4">
        <v>46062</v>
      </c>
      <c r="G140" s="5">
        <f>IF(Controls!$B$2&gt;F140,Controls!$B$2-F140,0)</f>
        <v>44</v>
      </c>
      <c r="H140" s="5" t="str">
        <f t="shared" si="2"/>
        <v>31-60</v>
      </c>
    </row>
    <row r="141" spans="1:8" x14ac:dyDescent="0.3">
      <c r="A141" s="2" t="s">
        <v>123</v>
      </c>
      <c r="B141" s="2" t="s">
        <v>124</v>
      </c>
      <c r="C141" s="2" t="s">
        <v>278</v>
      </c>
      <c r="D141" s="3">
        <v>10352.209999999999</v>
      </c>
      <c r="E141" s="4">
        <v>46027</v>
      </c>
      <c r="F141" s="4">
        <v>46051</v>
      </c>
      <c r="G141" s="5">
        <f>IF(Controls!$B$2&gt;F141,Controls!$B$2-F141,0)</f>
        <v>55</v>
      </c>
      <c r="H141" s="5" t="str">
        <f t="shared" si="2"/>
        <v>31-60</v>
      </c>
    </row>
    <row r="142" spans="1:8" x14ac:dyDescent="0.3">
      <c r="A142" s="2" t="s">
        <v>75</v>
      </c>
      <c r="B142" s="2" t="s">
        <v>76</v>
      </c>
      <c r="C142" s="2" t="s">
        <v>279</v>
      </c>
      <c r="D142" s="3">
        <v>10094.86</v>
      </c>
      <c r="E142" s="4">
        <v>46030</v>
      </c>
      <c r="F142" s="4">
        <v>46071</v>
      </c>
      <c r="G142" s="5">
        <f>IF(Controls!$B$2&gt;F142,Controls!$B$2-F142,0)</f>
        <v>35</v>
      </c>
      <c r="H142" s="5" t="str">
        <f t="shared" si="2"/>
        <v>31-60</v>
      </c>
    </row>
    <row r="143" spans="1:8" x14ac:dyDescent="0.3">
      <c r="A143" s="2" t="s">
        <v>219</v>
      </c>
      <c r="B143" s="2" t="s">
        <v>220</v>
      </c>
      <c r="C143" s="2" t="s">
        <v>280</v>
      </c>
      <c r="D143" s="3">
        <v>1521.18</v>
      </c>
      <c r="E143" s="4">
        <v>45988</v>
      </c>
      <c r="F143" s="4">
        <v>46029</v>
      </c>
      <c r="G143" s="5">
        <f>IF(Controls!$B$2&gt;F143,Controls!$B$2-F143,0)</f>
        <v>77</v>
      </c>
      <c r="H143" s="5" t="str">
        <f t="shared" si="2"/>
        <v>60+</v>
      </c>
    </row>
    <row r="144" spans="1:8" x14ac:dyDescent="0.3">
      <c r="A144" s="2" t="s">
        <v>197</v>
      </c>
      <c r="B144" s="2" t="s">
        <v>198</v>
      </c>
      <c r="C144" s="2" t="s">
        <v>281</v>
      </c>
      <c r="D144" s="3">
        <v>9920.6</v>
      </c>
      <c r="E144" s="4">
        <v>46026</v>
      </c>
      <c r="F144" s="4">
        <v>46054</v>
      </c>
      <c r="G144" s="5">
        <f>IF(Controls!$B$2&gt;F144,Controls!$B$2-F144,0)</f>
        <v>52</v>
      </c>
      <c r="H144" s="5" t="str">
        <f t="shared" si="2"/>
        <v>31-60</v>
      </c>
    </row>
    <row r="145" spans="1:8" x14ac:dyDescent="0.3">
      <c r="A145" s="2" t="s">
        <v>16</v>
      </c>
      <c r="B145" s="2" t="s">
        <v>17</v>
      </c>
      <c r="C145" s="2" t="s">
        <v>282</v>
      </c>
      <c r="D145" s="3">
        <v>10737.93</v>
      </c>
      <c r="E145" s="4">
        <v>46072</v>
      </c>
      <c r="F145" s="4">
        <v>46112</v>
      </c>
      <c r="G145" s="5">
        <f>IF(Controls!$B$2&gt;F145,Controls!$B$2-F145,0)</f>
        <v>0</v>
      </c>
      <c r="H145" s="5" t="str">
        <f t="shared" si="2"/>
        <v>0-30</v>
      </c>
    </row>
    <row r="146" spans="1:8" x14ac:dyDescent="0.3">
      <c r="A146" s="2" t="s">
        <v>197</v>
      </c>
      <c r="B146" s="2" t="s">
        <v>198</v>
      </c>
      <c r="C146" s="2" t="s">
        <v>283</v>
      </c>
      <c r="D146" s="3">
        <v>4272.9799999999996</v>
      </c>
      <c r="E146" s="4">
        <v>46076</v>
      </c>
      <c r="F146" s="4">
        <v>46100</v>
      </c>
      <c r="G146" s="5">
        <f>IF(Controls!$B$2&gt;F146,Controls!$B$2-F146,0)</f>
        <v>6</v>
      </c>
      <c r="H146" s="5" t="str">
        <f t="shared" si="2"/>
        <v>0-30</v>
      </c>
    </row>
    <row r="147" spans="1:8" x14ac:dyDescent="0.3">
      <c r="A147" s="2" t="s">
        <v>284</v>
      </c>
      <c r="B147" s="2" t="s">
        <v>285</v>
      </c>
      <c r="C147" s="2" t="s">
        <v>286</v>
      </c>
      <c r="D147" s="3">
        <v>15649.32</v>
      </c>
      <c r="E147" s="4">
        <v>46022</v>
      </c>
      <c r="F147" s="4">
        <v>46069</v>
      </c>
      <c r="G147" s="5">
        <f>IF(Controls!$B$2&gt;F147,Controls!$B$2-F147,0)</f>
        <v>37</v>
      </c>
      <c r="H147" s="5" t="str">
        <f t="shared" si="2"/>
        <v>31-60</v>
      </c>
    </row>
    <row r="148" spans="1:8" x14ac:dyDescent="0.3">
      <c r="A148" s="2" t="s">
        <v>187</v>
      </c>
      <c r="B148" s="2" t="s">
        <v>188</v>
      </c>
      <c r="C148" s="2" t="s">
        <v>287</v>
      </c>
      <c r="D148" s="3">
        <v>7261.55</v>
      </c>
      <c r="E148" s="4">
        <v>46025</v>
      </c>
      <c r="F148" s="4">
        <v>46050</v>
      </c>
      <c r="G148" s="5">
        <f>IF(Controls!$B$2&gt;F148,Controls!$B$2-F148,0)</f>
        <v>56</v>
      </c>
      <c r="H148" s="5" t="str">
        <f t="shared" si="2"/>
        <v>31-60</v>
      </c>
    </row>
    <row r="149" spans="1:8" x14ac:dyDescent="0.3">
      <c r="A149" s="2" t="s">
        <v>246</v>
      </c>
      <c r="B149" s="2" t="s">
        <v>247</v>
      </c>
      <c r="C149" s="2" t="s">
        <v>288</v>
      </c>
      <c r="D149" s="3">
        <v>12390.11</v>
      </c>
      <c r="E149" s="4">
        <v>46057</v>
      </c>
      <c r="F149" s="4">
        <v>46091</v>
      </c>
      <c r="G149" s="5">
        <f>IF(Controls!$B$2&gt;F149,Controls!$B$2-F149,0)</f>
        <v>15</v>
      </c>
      <c r="H149" s="5" t="str">
        <f t="shared" si="2"/>
        <v>0-30</v>
      </c>
    </row>
    <row r="150" spans="1:8" x14ac:dyDescent="0.3">
      <c r="A150" s="2" t="s">
        <v>205</v>
      </c>
      <c r="B150" s="2" t="s">
        <v>206</v>
      </c>
      <c r="C150" s="2" t="s">
        <v>289</v>
      </c>
      <c r="D150" s="3">
        <v>1326.56</v>
      </c>
      <c r="E150" s="4">
        <v>46102</v>
      </c>
      <c r="F150" s="4">
        <v>46137</v>
      </c>
      <c r="G150" s="5">
        <f>IF(Controls!$B$2&gt;F150,Controls!$B$2-F150,0)</f>
        <v>0</v>
      </c>
      <c r="H150" s="5" t="str">
        <f t="shared" si="2"/>
        <v>0-30</v>
      </c>
    </row>
    <row r="151" spans="1:8" x14ac:dyDescent="0.3">
      <c r="A151" s="2" t="s">
        <v>212</v>
      </c>
      <c r="B151" s="2" t="s">
        <v>213</v>
      </c>
      <c r="C151" s="2" t="s">
        <v>290</v>
      </c>
      <c r="D151" s="3">
        <v>17879.68</v>
      </c>
      <c r="E151" s="4">
        <v>46003</v>
      </c>
      <c r="F151" s="4">
        <v>46028</v>
      </c>
      <c r="G151" s="5">
        <f>IF(Controls!$B$2&gt;F151,Controls!$B$2-F151,0)</f>
        <v>78</v>
      </c>
      <c r="H151" s="5" t="str">
        <f t="shared" si="2"/>
        <v>60+</v>
      </c>
    </row>
    <row r="152" spans="1:8" x14ac:dyDescent="0.3">
      <c r="A152" s="2" t="s">
        <v>92</v>
      </c>
      <c r="B152" s="2" t="s">
        <v>93</v>
      </c>
      <c r="C152" s="2" t="s">
        <v>291</v>
      </c>
      <c r="D152" s="3">
        <v>15464.55</v>
      </c>
      <c r="E152" s="4">
        <v>46035</v>
      </c>
      <c r="F152" s="4">
        <v>46080</v>
      </c>
      <c r="G152" s="5">
        <f>IF(Controls!$B$2&gt;F152,Controls!$B$2-F152,0)</f>
        <v>26</v>
      </c>
      <c r="H152" s="5" t="str">
        <f t="shared" si="2"/>
        <v>0-30</v>
      </c>
    </row>
    <row r="153" spans="1:8" x14ac:dyDescent="0.3">
      <c r="A153" s="2" t="s">
        <v>31</v>
      </c>
      <c r="B153" s="2" t="s">
        <v>32</v>
      </c>
      <c r="C153" s="2" t="s">
        <v>292</v>
      </c>
      <c r="D153" s="3">
        <v>23479.09</v>
      </c>
      <c r="E153" s="4">
        <v>46057</v>
      </c>
      <c r="F153" s="4">
        <v>46096</v>
      </c>
      <c r="G153" s="5">
        <f>IF(Controls!$B$2&gt;F153,Controls!$B$2-F153,0)</f>
        <v>10</v>
      </c>
      <c r="H153" s="5" t="str">
        <f t="shared" si="2"/>
        <v>0-30</v>
      </c>
    </row>
    <row r="154" spans="1:8" x14ac:dyDescent="0.3">
      <c r="A154" s="2" t="s">
        <v>36</v>
      </c>
      <c r="B154" s="2" t="s">
        <v>37</v>
      </c>
      <c r="C154" s="2" t="s">
        <v>293</v>
      </c>
      <c r="D154" s="3">
        <v>6364.71</v>
      </c>
      <c r="E154" s="4">
        <v>45997</v>
      </c>
      <c r="F154" s="4">
        <v>46024</v>
      </c>
      <c r="G154" s="5">
        <f>IF(Controls!$B$2&gt;F154,Controls!$B$2-F154,0)</f>
        <v>82</v>
      </c>
      <c r="H154" s="5" t="str">
        <f t="shared" si="2"/>
        <v>60+</v>
      </c>
    </row>
    <row r="155" spans="1:8" x14ac:dyDescent="0.3">
      <c r="A155" s="2" t="s">
        <v>136</v>
      </c>
      <c r="B155" s="2" t="s">
        <v>137</v>
      </c>
      <c r="C155" s="2" t="s">
        <v>294</v>
      </c>
      <c r="D155" s="3">
        <v>21101.5</v>
      </c>
      <c r="E155" s="4">
        <v>46133</v>
      </c>
      <c r="F155" s="4">
        <v>46150</v>
      </c>
      <c r="G155" s="5">
        <f>IF(Controls!$B$2&gt;F155,Controls!$B$2-F155,0)</f>
        <v>0</v>
      </c>
      <c r="H155" s="5" t="str">
        <f t="shared" si="2"/>
        <v>0-30</v>
      </c>
    </row>
    <row r="156" spans="1:8" x14ac:dyDescent="0.3">
      <c r="A156" s="2" t="s">
        <v>57</v>
      </c>
      <c r="B156" s="2" t="s">
        <v>58</v>
      </c>
      <c r="C156" s="2" t="s">
        <v>295</v>
      </c>
      <c r="D156" s="3">
        <v>15088.11</v>
      </c>
      <c r="E156" s="4">
        <v>45991</v>
      </c>
      <c r="F156" s="4">
        <v>46046</v>
      </c>
      <c r="G156" s="5">
        <f>IF(Controls!$B$2&gt;F156,Controls!$B$2-F156,0)</f>
        <v>60</v>
      </c>
      <c r="H156" s="5" t="str">
        <f t="shared" si="2"/>
        <v>31-60</v>
      </c>
    </row>
    <row r="157" spans="1:8" x14ac:dyDescent="0.3">
      <c r="A157" s="2" t="s">
        <v>219</v>
      </c>
      <c r="B157" s="2" t="s">
        <v>220</v>
      </c>
      <c r="C157" s="2" t="s">
        <v>296</v>
      </c>
      <c r="D157" s="3">
        <v>7878.24</v>
      </c>
      <c r="E157" s="4">
        <v>46032</v>
      </c>
      <c r="F157" s="4">
        <v>46074</v>
      </c>
      <c r="G157" s="5">
        <f>IF(Controls!$B$2&gt;F157,Controls!$B$2-F157,0)</f>
        <v>32</v>
      </c>
      <c r="H157" s="5" t="str">
        <f t="shared" si="2"/>
        <v>31-60</v>
      </c>
    </row>
    <row r="158" spans="1:8" x14ac:dyDescent="0.3">
      <c r="A158" s="2" t="s">
        <v>239</v>
      </c>
      <c r="B158" s="2" t="s">
        <v>240</v>
      </c>
      <c r="C158" s="2" t="s">
        <v>297</v>
      </c>
      <c r="D158" s="3">
        <v>11099.23</v>
      </c>
      <c r="E158" s="4">
        <v>46053</v>
      </c>
      <c r="F158" s="4">
        <v>46099</v>
      </c>
      <c r="G158" s="5">
        <f>IF(Controls!$B$2&gt;F158,Controls!$B$2-F158,0)</f>
        <v>7</v>
      </c>
      <c r="H158" s="5" t="str">
        <f t="shared" si="2"/>
        <v>0-30</v>
      </c>
    </row>
    <row r="159" spans="1:8" x14ac:dyDescent="0.3">
      <c r="A159" s="2" t="s">
        <v>60</v>
      </c>
      <c r="B159" s="2" t="s">
        <v>61</v>
      </c>
      <c r="C159" s="2" t="s">
        <v>298</v>
      </c>
      <c r="D159" s="3">
        <v>19554.38</v>
      </c>
      <c r="E159" s="4">
        <v>46021</v>
      </c>
      <c r="F159" s="4">
        <v>46047</v>
      </c>
      <c r="G159" s="5">
        <f>IF(Controls!$B$2&gt;F159,Controls!$B$2-F159,0)</f>
        <v>59</v>
      </c>
      <c r="H159" s="5" t="str">
        <f t="shared" si="2"/>
        <v>31-60</v>
      </c>
    </row>
    <row r="160" spans="1:8" x14ac:dyDescent="0.3">
      <c r="A160" s="2" t="s">
        <v>178</v>
      </c>
      <c r="B160" s="2" t="s">
        <v>179</v>
      </c>
      <c r="C160" s="2" t="s">
        <v>299</v>
      </c>
      <c r="D160" s="3">
        <v>3429.28</v>
      </c>
      <c r="E160" s="4">
        <v>46023</v>
      </c>
      <c r="F160" s="4">
        <v>46061</v>
      </c>
      <c r="G160" s="5">
        <f>IF(Controls!$B$2&gt;F160,Controls!$B$2-F160,0)</f>
        <v>45</v>
      </c>
      <c r="H160" s="5" t="str">
        <f t="shared" si="2"/>
        <v>31-60</v>
      </c>
    </row>
    <row r="161" spans="1:8" x14ac:dyDescent="0.3">
      <c r="A161" s="2" t="s">
        <v>75</v>
      </c>
      <c r="B161" s="2" t="s">
        <v>76</v>
      </c>
      <c r="C161" s="2" t="s">
        <v>300</v>
      </c>
      <c r="D161" s="3">
        <v>12732.47</v>
      </c>
      <c r="E161" s="4">
        <v>46132</v>
      </c>
      <c r="F161" s="4">
        <v>46149</v>
      </c>
      <c r="G161" s="5">
        <f>IF(Controls!$B$2&gt;F161,Controls!$B$2-F161,0)</f>
        <v>0</v>
      </c>
      <c r="H161" s="5" t="str">
        <f t="shared" si="2"/>
        <v>0-30</v>
      </c>
    </row>
    <row r="162" spans="1:8" x14ac:dyDescent="0.3">
      <c r="A162" s="2" t="s">
        <v>205</v>
      </c>
      <c r="B162" s="2" t="s">
        <v>206</v>
      </c>
      <c r="C162" s="2" t="s">
        <v>301</v>
      </c>
      <c r="D162" s="3">
        <v>18403.64</v>
      </c>
      <c r="E162" s="4">
        <v>45970</v>
      </c>
      <c r="F162" s="4">
        <v>46017</v>
      </c>
      <c r="G162" s="5">
        <f>IF(Controls!$B$2&gt;F162,Controls!$B$2-F162,0)</f>
        <v>89</v>
      </c>
      <c r="H162" s="5" t="str">
        <f t="shared" si="2"/>
        <v>60+</v>
      </c>
    </row>
    <row r="163" spans="1:8" x14ac:dyDescent="0.3">
      <c r="A163" s="2" t="s">
        <v>19</v>
      </c>
      <c r="B163" s="2" t="s">
        <v>20</v>
      </c>
      <c r="C163" s="2" t="s">
        <v>302</v>
      </c>
      <c r="D163" s="3">
        <v>12722.12</v>
      </c>
      <c r="E163" s="4">
        <v>46012</v>
      </c>
      <c r="F163" s="4">
        <v>46068</v>
      </c>
      <c r="G163" s="5">
        <f>IF(Controls!$B$2&gt;F163,Controls!$B$2-F163,0)</f>
        <v>38</v>
      </c>
      <c r="H163" s="5" t="str">
        <f t="shared" si="2"/>
        <v>31-60</v>
      </c>
    </row>
    <row r="164" spans="1:8" x14ac:dyDescent="0.3">
      <c r="A164" s="2" t="s">
        <v>113</v>
      </c>
      <c r="B164" s="2" t="s">
        <v>114</v>
      </c>
      <c r="C164" s="2" t="s">
        <v>303</v>
      </c>
      <c r="D164" s="3">
        <v>1892.92</v>
      </c>
      <c r="E164" s="4">
        <v>45979</v>
      </c>
      <c r="F164" s="4">
        <v>46038</v>
      </c>
      <c r="G164" s="5">
        <f>IF(Controls!$B$2&gt;F164,Controls!$B$2-F164,0)</f>
        <v>68</v>
      </c>
      <c r="H164" s="5" t="str">
        <f t="shared" si="2"/>
        <v>60+</v>
      </c>
    </row>
    <row r="165" spans="1:8" x14ac:dyDescent="0.3">
      <c r="A165" s="2" t="s">
        <v>209</v>
      </c>
      <c r="B165" s="2" t="s">
        <v>210</v>
      </c>
      <c r="C165" s="2" t="s">
        <v>304</v>
      </c>
      <c r="D165" s="3">
        <v>24547.77</v>
      </c>
      <c r="E165" s="4">
        <v>46021</v>
      </c>
      <c r="F165" s="4">
        <v>46054</v>
      </c>
      <c r="G165" s="5">
        <f>IF(Controls!$B$2&gt;F165,Controls!$B$2-F165,0)</f>
        <v>52</v>
      </c>
      <c r="H165" s="5" t="str">
        <f t="shared" si="2"/>
        <v>31-60</v>
      </c>
    </row>
    <row r="166" spans="1:8" x14ac:dyDescent="0.3">
      <c r="A166" s="2" t="s">
        <v>187</v>
      </c>
      <c r="B166" s="2" t="s">
        <v>188</v>
      </c>
      <c r="C166" s="2" t="s">
        <v>305</v>
      </c>
      <c r="D166" s="3">
        <v>18096.71</v>
      </c>
      <c r="E166" s="4">
        <v>46058</v>
      </c>
      <c r="F166" s="4">
        <v>46077</v>
      </c>
      <c r="G166" s="5">
        <f>IF(Controls!$B$2&gt;F166,Controls!$B$2-F166,0)</f>
        <v>29</v>
      </c>
      <c r="H166" s="5" t="str">
        <f t="shared" si="2"/>
        <v>0-30</v>
      </c>
    </row>
    <row r="167" spans="1:8" x14ac:dyDescent="0.3">
      <c r="A167" s="2" t="s">
        <v>155</v>
      </c>
      <c r="B167" s="2" t="s">
        <v>156</v>
      </c>
      <c r="C167" s="2" t="s">
        <v>306</v>
      </c>
      <c r="D167" s="3">
        <v>4179.49</v>
      </c>
      <c r="E167" s="4">
        <v>45937</v>
      </c>
      <c r="F167" s="4">
        <v>45991</v>
      </c>
      <c r="G167" s="5">
        <f>IF(Controls!$B$2&gt;F167,Controls!$B$2-F167,0)</f>
        <v>115</v>
      </c>
      <c r="H167" s="5" t="str">
        <f t="shared" si="2"/>
        <v>60+</v>
      </c>
    </row>
    <row r="168" spans="1:8" x14ac:dyDescent="0.3">
      <c r="A168" s="2" t="s">
        <v>152</v>
      </c>
      <c r="B168" s="2" t="s">
        <v>153</v>
      </c>
      <c r="C168" s="2" t="s">
        <v>307</v>
      </c>
      <c r="D168" s="3">
        <v>12679.89</v>
      </c>
      <c r="E168" s="4">
        <v>46027</v>
      </c>
      <c r="F168" s="4">
        <v>46055</v>
      </c>
      <c r="G168" s="5">
        <f>IF(Controls!$B$2&gt;F168,Controls!$B$2-F168,0)</f>
        <v>51</v>
      </c>
      <c r="H168" s="5" t="str">
        <f t="shared" si="2"/>
        <v>31-60</v>
      </c>
    </row>
    <row r="169" spans="1:8" x14ac:dyDescent="0.3">
      <c r="A169" s="2" t="s">
        <v>33</v>
      </c>
      <c r="B169" s="2" t="s">
        <v>34</v>
      </c>
      <c r="C169" s="2" t="s">
        <v>308</v>
      </c>
      <c r="D169" s="3">
        <v>12773.67</v>
      </c>
      <c r="E169" s="4">
        <v>46038</v>
      </c>
      <c r="F169" s="4">
        <v>46076</v>
      </c>
      <c r="G169" s="5">
        <f>IF(Controls!$B$2&gt;F169,Controls!$B$2-F169,0)</f>
        <v>30</v>
      </c>
      <c r="H169" s="5" t="str">
        <f t="shared" si="2"/>
        <v>0-30</v>
      </c>
    </row>
    <row r="170" spans="1:8" x14ac:dyDescent="0.3">
      <c r="A170" s="2" t="s">
        <v>103</v>
      </c>
      <c r="B170" s="2" t="s">
        <v>104</v>
      </c>
      <c r="C170" s="2" t="s">
        <v>309</v>
      </c>
      <c r="D170" s="3">
        <v>10235.77</v>
      </c>
      <c r="E170" s="4">
        <v>46003</v>
      </c>
      <c r="F170" s="4">
        <v>46035</v>
      </c>
      <c r="G170" s="5">
        <f>IF(Controls!$B$2&gt;F170,Controls!$B$2-F170,0)</f>
        <v>71</v>
      </c>
      <c r="H170" s="5" t="str">
        <f t="shared" si="2"/>
        <v>60+</v>
      </c>
    </row>
    <row r="171" spans="1:8" x14ac:dyDescent="0.3">
      <c r="A171" s="2" t="s">
        <v>57</v>
      </c>
      <c r="B171" s="2" t="s">
        <v>58</v>
      </c>
      <c r="C171" s="2" t="s">
        <v>310</v>
      </c>
      <c r="D171" s="3">
        <v>4426.37</v>
      </c>
      <c r="E171" s="4">
        <v>46101</v>
      </c>
      <c r="F171" s="4">
        <v>46123</v>
      </c>
      <c r="G171" s="5">
        <f>IF(Controls!$B$2&gt;F171,Controls!$B$2-F171,0)</f>
        <v>0</v>
      </c>
      <c r="H171" s="5" t="str">
        <f t="shared" si="2"/>
        <v>0-30</v>
      </c>
    </row>
    <row r="172" spans="1:8" x14ac:dyDescent="0.3">
      <c r="A172" s="2" t="s">
        <v>181</v>
      </c>
      <c r="B172" s="2" t="s">
        <v>182</v>
      </c>
      <c r="C172" s="2" t="s">
        <v>311</v>
      </c>
      <c r="D172" s="3">
        <v>9154.5300000000007</v>
      </c>
      <c r="E172" s="4">
        <v>45951</v>
      </c>
      <c r="F172" s="4">
        <v>45994</v>
      </c>
      <c r="G172" s="5">
        <f>IF(Controls!$B$2&gt;F172,Controls!$B$2-F172,0)</f>
        <v>112</v>
      </c>
      <c r="H172" s="5" t="str">
        <f t="shared" si="2"/>
        <v>60+</v>
      </c>
    </row>
    <row r="173" spans="1:8" x14ac:dyDescent="0.3">
      <c r="A173" s="2" t="s">
        <v>312</v>
      </c>
      <c r="B173" s="2" t="s">
        <v>313</v>
      </c>
      <c r="C173" s="2" t="s">
        <v>314</v>
      </c>
      <c r="D173" s="3">
        <v>22428.5</v>
      </c>
      <c r="E173" s="4">
        <v>46024</v>
      </c>
      <c r="F173" s="4">
        <v>46073</v>
      </c>
      <c r="G173" s="5">
        <f>IF(Controls!$B$2&gt;F173,Controls!$B$2-F173,0)</f>
        <v>33</v>
      </c>
      <c r="H173" s="5" t="str">
        <f t="shared" si="2"/>
        <v>31-60</v>
      </c>
    </row>
    <row r="174" spans="1:8" x14ac:dyDescent="0.3">
      <c r="A174" s="2" t="s">
        <v>284</v>
      </c>
      <c r="B174" s="2" t="s">
        <v>285</v>
      </c>
      <c r="C174" s="2" t="s">
        <v>315</v>
      </c>
      <c r="D174" s="3">
        <v>9443.7900000000009</v>
      </c>
      <c r="E174" s="4">
        <v>46019</v>
      </c>
      <c r="F174" s="4">
        <v>46057</v>
      </c>
      <c r="G174" s="5">
        <f>IF(Controls!$B$2&gt;F174,Controls!$B$2-F174,0)</f>
        <v>49</v>
      </c>
      <c r="H174" s="5" t="str">
        <f t="shared" si="2"/>
        <v>31-60</v>
      </c>
    </row>
    <row r="175" spans="1:8" x14ac:dyDescent="0.3">
      <c r="A175" s="2" t="s">
        <v>197</v>
      </c>
      <c r="B175" s="2" t="s">
        <v>198</v>
      </c>
      <c r="C175" s="2" t="s">
        <v>316</v>
      </c>
      <c r="D175" s="3">
        <v>2264.29</v>
      </c>
      <c r="E175" s="4">
        <v>46061</v>
      </c>
      <c r="F175" s="4">
        <v>46087</v>
      </c>
      <c r="G175" s="5">
        <f>IF(Controls!$B$2&gt;F175,Controls!$B$2-F175,0)</f>
        <v>19</v>
      </c>
      <c r="H175" s="5" t="str">
        <f t="shared" si="2"/>
        <v>0-30</v>
      </c>
    </row>
    <row r="176" spans="1:8" x14ac:dyDescent="0.3">
      <c r="A176" s="2" t="s">
        <v>155</v>
      </c>
      <c r="B176" s="2" t="s">
        <v>156</v>
      </c>
      <c r="C176" s="2" t="s">
        <v>317</v>
      </c>
      <c r="D176" s="3">
        <v>1445.21</v>
      </c>
      <c r="E176" s="4">
        <v>45953</v>
      </c>
      <c r="F176" s="4">
        <v>46001</v>
      </c>
      <c r="G176" s="5">
        <f>IF(Controls!$B$2&gt;F176,Controls!$B$2-F176,0)</f>
        <v>105</v>
      </c>
      <c r="H176" s="5" t="str">
        <f t="shared" si="2"/>
        <v>60+</v>
      </c>
    </row>
    <row r="177" spans="1:8" x14ac:dyDescent="0.3">
      <c r="A177" s="2" t="s">
        <v>312</v>
      </c>
      <c r="B177" s="2" t="s">
        <v>313</v>
      </c>
      <c r="C177" s="2" t="s">
        <v>318</v>
      </c>
      <c r="D177" s="3">
        <v>22419.14</v>
      </c>
      <c r="E177" s="4">
        <v>46090</v>
      </c>
      <c r="F177" s="4">
        <v>46107</v>
      </c>
      <c r="G177" s="5">
        <f>IF(Controls!$B$2&gt;F177,Controls!$B$2-F177,0)</f>
        <v>0</v>
      </c>
      <c r="H177" s="5" t="str">
        <f t="shared" si="2"/>
        <v>0-30</v>
      </c>
    </row>
    <row r="178" spans="1:8" x14ac:dyDescent="0.3">
      <c r="A178" s="2" t="s">
        <v>170</v>
      </c>
      <c r="B178" s="2" t="s">
        <v>171</v>
      </c>
      <c r="C178" s="2" t="s">
        <v>319</v>
      </c>
      <c r="D178" s="3">
        <v>10947.76</v>
      </c>
      <c r="E178" s="4">
        <v>46002</v>
      </c>
      <c r="F178" s="4">
        <v>46040</v>
      </c>
      <c r="G178" s="5">
        <f>IF(Controls!$B$2&gt;F178,Controls!$B$2-F178,0)</f>
        <v>66</v>
      </c>
      <c r="H178" s="5" t="str">
        <f t="shared" si="2"/>
        <v>60+</v>
      </c>
    </row>
    <row r="179" spans="1:8" x14ac:dyDescent="0.3">
      <c r="A179" s="2" t="s">
        <v>205</v>
      </c>
      <c r="B179" s="2" t="s">
        <v>206</v>
      </c>
      <c r="C179" s="2" t="s">
        <v>320</v>
      </c>
      <c r="D179" s="3">
        <v>15409.86</v>
      </c>
      <c r="E179" s="4">
        <v>46081</v>
      </c>
      <c r="F179" s="4">
        <v>46096</v>
      </c>
      <c r="G179" s="5">
        <f>IF(Controls!$B$2&gt;F179,Controls!$B$2-F179,0)</f>
        <v>10</v>
      </c>
      <c r="H179" s="5" t="str">
        <f t="shared" si="2"/>
        <v>0-30</v>
      </c>
    </row>
    <row r="180" spans="1:8" x14ac:dyDescent="0.3">
      <c r="A180" s="2" t="s">
        <v>129</v>
      </c>
      <c r="B180" s="2" t="s">
        <v>130</v>
      </c>
      <c r="C180" s="2" t="s">
        <v>321</v>
      </c>
      <c r="D180" s="3">
        <v>9089.5</v>
      </c>
      <c r="E180" s="4">
        <v>46047</v>
      </c>
      <c r="F180" s="4">
        <v>46088</v>
      </c>
      <c r="G180" s="5">
        <f>IF(Controls!$B$2&gt;F180,Controls!$B$2-F180,0)</f>
        <v>18</v>
      </c>
      <c r="H180" s="5" t="str">
        <f t="shared" si="2"/>
        <v>0-30</v>
      </c>
    </row>
    <row r="181" spans="1:8" x14ac:dyDescent="0.3">
      <c r="A181" s="2" t="s">
        <v>312</v>
      </c>
      <c r="B181" s="2" t="s">
        <v>313</v>
      </c>
      <c r="C181" s="2" t="s">
        <v>322</v>
      </c>
      <c r="D181" s="3">
        <v>3559.74</v>
      </c>
      <c r="E181" s="4">
        <v>46016</v>
      </c>
      <c r="F181" s="4">
        <v>46070</v>
      </c>
      <c r="G181" s="5">
        <f>IF(Controls!$B$2&gt;F181,Controls!$B$2-F181,0)</f>
        <v>36</v>
      </c>
      <c r="H181" s="5" t="str">
        <f t="shared" si="2"/>
        <v>31-60</v>
      </c>
    </row>
    <row r="182" spans="1:8" x14ac:dyDescent="0.3">
      <c r="A182" s="2" t="s">
        <v>45</v>
      </c>
      <c r="B182" s="2" t="s">
        <v>46</v>
      </c>
      <c r="C182" s="2" t="s">
        <v>323</v>
      </c>
      <c r="D182" s="3">
        <v>599.27</v>
      </c>
      <c r="E182" s="4">
        <v>46025</v>
      </c>
      <c r="F182" s="4">
        <v>46085</v>
      </c>
      <c r="G182" s="5">
        <f>IF(Controls!$B$2&gt;F182,Controls!$B$2-F182,0)</f>
        <v>21</v>
      </c>
      <c r="H182" s="5" t="str">
        <f t="shared" si="2"/>
        <v>0-30</v>
      </c>
    </row>
    <row r="183" spans="1:8" x14ac:dyDescent="0.3">
      <c r="A183" s="2" t="s">
        <v>132</v>
      </c>
      <c r="B183" s="2" t="s">
        <v>133</v>
      </c>
      <c r="C183" s="2" t="s">
        <v>324</v>
      </c>
      <c r="D183" s="3">
        <v>1825.8</v>
      </c>
      <c r="E183" s="4">
        <v>46051</v>
      </c>
      <c r="F183" s="4">
        <v>46083</v>
      </c>
      <c r="G183" s="5">
        <f>IF(Controls!$B$2&gt;F183,Controls!$B$2-F183,0)</f>
        <v>23</v>
      </c>
      <c r="H183" s="5" t="str">
        <f t="shared" si="2"/>
        <v>0-30</v>
      </c>
    </row>
    <row r="184" spans="1:8" x14ac:dyDescent="0.3">
      <c r="A184" s="2" t="s">
        <v>63</v>
      </c>
      <c r="B184" s="2" t="s">
        <v>64</v>
      </c>
      <c r="C184" s="2" t="s">
        <v>325</v>
      </c>
      <c r="D184" s="3">
        <v>1639.23</v>
      </c>
      <c r="E184" s="4">
        <v>46105</v>
      </c>
      <c r="F184" s="4">
        <v>46142</v>
      </c>
      <c r="G184" s="5">
        <f>IF(Controls!$B$2&gt;F184,Controls!$B$2-F184,0)</f>
        <v>0</v>
      </c>
      <c r="H184" s="5" t="str">
        <f t="shared" si="2"/>
        <v>0-30</v>
      </c>
    </row>
    <row r="185" spans="1:8" x14ac:dyDescent="0.3">
      <c r="A185" s="2" t="s">
        <v>312</v>
      </c>
      <c r="B185" s="2" t="s">
        <v>313</v>
      </c>
      <c r="C185" s="2" t="s">
        <v>326</v>
      </c>
      <c r="D185" s="3">
        <v>23444.639999999999</v>
      </c>
      <c r="E185" s="4">
        <v>46023</v>
      </c>
      <c r="F185" s="4">
        <v>46038</v>
      </c>
      <c r="G185" s="5">
        <f>IF(Controls!$B$2&gt;F185,Controls!$B$2-F185,0)</f>
        <v>68</v>
      </c>
      <c r="H185" s="5" t="str">
        <f t="shared" si="2"/>
        <v>60+</v>
      </c>
    </row>
    <row r="186" spans="1:8" x14ac:dyDescent="0.3">
      <c r="A186" s="2" t="s">
        <v>215</v>
      </c>
      <c r="B186" s="2" t="s">
        <v>216</v>
      </c>
      <c r="C186" s="2" t="s">
        <v>327</v>
      </c>
      <c r="D186" s="3">
        <v>4845.03</v>
      </c>
      <c r="E186" s="4">
        <v>46078</v>
      </c>
      <c r="F186" s="4">
        <v>46096</v>
      </c>
      <c r="G186" s="5">
        <f>IF(Controls!$B$2&gt;F186,Controls!$B$2-F186,0)</f>
        <v>10</v>
      </c>
      <c r="H186" s="5" t="str">
        <f t="shared" si="2"/>
        <v>0-30</v>
      </c>
    </row>
    <row r="187" spans="1:8" x14ac:dyDescent="0.3">
      <c r="A187" s="2" t="s">
        <v>28</v>
      </c>
      <c r="B187" s="2" t="s">
        <v>29</v>
      </c>
      <c r="C187" s="2" t="s">
        <v>328</v>
      </c>
      <c r="D187" s="3">
        <v>13885.34</v>
      </c>
      <c r="E187" s="4">
        <v>46067</v>
      </c>
      <c r="F187" s="4">
        <v>46091</v>
      </c>
      <c r="G187" s="5">
        <f>IF(Controls!$B$2&gt;F187,Controls!$B$2-F187,0)</f>
        <v>15</v>
      </c>
      <c r="H187" s="5" t="str">
        <f t="shared" si="2"/>
        <v>0-30</v>
      </c>
    </row>
    <row r="188" spans="1:8" x14ac:dyDescent="0.3">
      <c r="A188" s="2" t="s">
        <v>329</v>
      </c>
      <c r="B188" s="2" t="s">
        <v>330</v>
      </c>
      <c r="C188" s="2" t="s">
        <v>331</v>
      </c>
      <c r="D188" s="3">
        <v>15300.05</v>
      </c>
      <c r="E188" s="4">
        <v>45996</v>
      </c>
      <c r="F188" s="4">
        <v>46052</v>
      </c>
      <c r="G188" s="5">
        <f>IF(Controls!$B$2&gt;F188,Controls!$B$2-F188,0)</f>
        <v>54</v>
      </c>
      <c r="H188" s="5" t="str">
        <f t="shared" si="2"/>
        <v>31-60</v>
      </c>
    </row>
    <row r="189" spans="1:8" x14ac:dyDescent="0.3">
      <c r="A189" s="2" t="s">
        <v>222</v>
      </c>
      <c r="B189" s="2" t="s">
        <v>223</v>
      </c>
      <c r="C189" s="2" t="s">
        <v>332</v>
      </c>
      <c r="D189" s="3">
        <v>4572.33</v>
      </c>
      <c r="E189" s="4">
        <v>46107</v>
      </c>
      <c r="F189" s="4">
        <v>46126</v>
      </c>
      <c r="G189" s="5">
        <f>IF(Controls!$B$2&gt;F189,Controls!$B$2-F189,0)</f>
        <v>0</v>
      </c>
      <c r="H189" s="5" t="str">
        <f t="shared" si="2"/>
        <v>0-30</v>
      </c>
    </row>
    <row r="190" spans="1:8" x14ac:dyDescent="0.3">
      <c r="A190" s="2" t="s">
        <v>181</v>
      </c>
      <c r="B190" s="2" t="s">
        <v>182</v>
      </c>
      <c r="C190" s="2" t="s">
        <v>333</v>
      </c>
      <c r="D190" s="3">
        <v>18176.580000000002</v>
      </c>
      <c r="E190" s="4">
        <v>46077</v>
      </c>
      <c r="F190" s="4">
        <v>46137</v>
      </c>
      <c r="G190" s="5">
        <f>IF(Controls!$B$2&gt;F190,Controls!$B$2-F190,0)</f>
        <v>0</v>
      </c>
      <c r="H190" s="5" t="str">
        <f t="shared" si="2"/>
        <v>0-30</v>
      </c>
    </row>
    <row r="191" spans="1:8" x14ac:dyDescent="0.3">
      <c r="A191" s="2" t="s">
        <v>142</v>
      </c>
      <c r="B191" s="2" t="s">
        <v>143</v>
      </c>
      <c r="C191" s="2" t="s">
        <v>334</v>
      </c>
      <c r="D191" s="3">
        <v>18693.39</v>
      </c>
      <c r="E191" s="4">
        <v>46116</v>
      </c>
      <c r="F191" s="4">
        <v>46136</v>
      </c>
      <c r="G191" s="5">
        <f>IF(Controls!$B$2&gt;F191,Controls!$B$2-F191,0)</f>
        <v>0</v>
      </c>
      <c r="H191" s="5" t="str">
        <f t="shared" si="2"/>
        <v>0-30</v>
      </c>
    </row>
    <row r="192" spans="1:8" x14ac:dyDescent="0.3">
      <c r="A192" s="2" t="s">
        <v>60</v>
      </c>
      <c r="B192" s="2" t="s">
        <v>61</v>
      </c>
      <c r="C192" s="2" t="s">
        <v>335</v>
      </c>
      <c r="D192" s="3">
        <v>24916.11</v>
      </c>
      <c r="E192" s="4">
        <v>46054</v>
      </c>
      <c r="F192" s="4">
        <v>46083</v>
      </c>
      <c r="G192" s="5">
        <f>IF(Controls!$B$2&gt;F192,Controls!$B$2-F192,0)</f>
        <v>23</v>
      </c>
      <c r="H192" s="5" t="str">
        <f t="shared" si="2"/>
        <v>0-30</v>
      </c>
    </row>
    <row r="193" spans="1:8" x14ac:dyDescent="0.3">
      <c r="A193" s="2" t="s">
        <v>103</v>
      </c>
      <c r="B193" s="2" t="s">
        <v>104</v>
      </c>
      <c r="C193" s="2" t="s">
        <v>336</v>
      </c>
      <c r="D193" s="3">
        <v>22309.03</v>
      </c>
      <c r="E193" s="4">
        <v>45997</v>
      </c>
      <c r="F193" s="4">
        <v>46028</v>
      </c>
      <c r="G193" s="5">
        <f>IF(Controls!$B$2&gt;F193,Controls!$B$2-F193,0)</f>
        <v>78</v>
      </c>
      <c r="H193" s="5" t="str">
        <f t="shared" si="2"/>
        <v>60+</v>
      </c>
    </row>
    <row r="194" spans="1:8" x14ac:dyDescent="0.3">
      <c r="A194" s="2" t="s">
        <v>181</v>
      </c>
      <c r="B194" s="2" t="s">
        <v>182</v>
      </c>
      <c r="C194" s="2" t="s">
        <v>337</v>
      </c>
      <c r="D194" s="3">
        <v>13956.25</v>
      </c>
      <c r="E194" s="4">
        <v>46003</v>
      </c>
      <c r="F194" s="4">
        <v>46061</v>
      </c>
      <c r="G194" s="5">
        <f>IF(Controls!$B$2&gt;F194,Controls!$B$2-F194,0)</f>
        <v>45</v>
      </c>
      <c r="H194" s="5" t="str">
        <f t="shared" si="2"/>
        <v>31-60</v>
      </c>
    </row>
    <row r="195" spans="1:8" x14ac:dyDescent="0.3">
      <c r="A195" s="2" t="s">
        <v>338</v>
      </c>
      <c r="B195" s="2" t="s">
        <v>339</v>
      </c>
      <c r="C195" s="2" t="s">
        <v>340</v>
      </c>
      <c r="D195" s="3">
        <v>7566.52</v>
      </c>
      <c r="E195" s="4">
        <v>46100</v>
      </c>
      <c r="F195" s="4">
        <v>46120</v>
      </c>
      <c r="G195" s="5">
        <f>IF(Controls!$B$2&gt;F195,Controls!$B$2-F195,0)</f>
        <v>0</v>
      </c>
      <c r="H195" s="5" t="str">
        <f t="shared" ref="H195:H258" si="3">IF(G195&lt;=30,"0-30",IF(G195&lt;=60,"31-60","60+"))</f>
        <v>0-30</v>
      </c>
    </row>
    <row r="196" spans="1:8" x14ac:dyDescent="0.3">
      <c r="A196" s="2" t="s">
        <v>341</v>
      </c>
      <c r="B196" s="2" t="s">
        <v>342</v>
      </c>
      <c r="C196" s="2" t="s">
        <v>343</v>
      </c>
      <c r="D196" s="3">
        <v>22641.39</v>
      </c>
      <c r="E196" s="4">
        <v>45994</v>
      </c>
      <c r="F196" s="4">
        <v>46021</v>
      </c>
      <c r="G196" s="5">
        <f>IF(Controls!$B$2&gt;F196,Controls!$B$2-F196,0)</f>
        <v>85</v>
      </c>
      <c r="H196" s="5" t="str">
        <f t="shared" si="3"/>
        <v>60+</v>
      </c>
    </row>
    <row r="197" spans="1:8" x14ac:dyDescent="0.3">
      <c r="A197" s="2" t="s">
        <v>120</v>
      </c>
      <c r="B197" s="2" t="s">
        <v>121</v>
      </c>
      <c r="C197" s="2" t="s">
        <v>344</v>
      </c>
      <c r="D197" s="3">
        <v>8340.07</v>
      </c>
      <c r="E197" s="4">
        <v>45954</v>
      </c>
      <c r="F197" s="4">
        <v>45993</v>
      </c>
      <c r="G197" s="5">
        <f>IF(Controls!$B$2&gt;F197,Controls!$B$2-F197,0)</f>
        <v>113</v>
      </c>
      <c r="H197" s="5" t="str">
        <f t="shared" si="3"/>
        <v>60+</v>
      </c>
    </row>
    <row r="198" spans="1:8" x14ac:dyDescent="0.3">
      <c r="A198" s="2" t="s">
        <v>345</v>
      </c>
      <c r="B198" s="2" t="s">
        <v>346</v>
      </c>
      <c r="C198" s="2" t="s">
        <v>347</v>
      </c>
      <c r="D198" s="3">
        <v>21335.22</v>
      </c>
      <c r="E198" s="4">
        <v>45985</v>
      </c>
      <c r="F198" s="4">
        <v>46033</v>
      </c>
      <c r="G198" s="5">
        <f>IF(Controls!$B$2&gt;F198,Controls!$B$2-F198,0)</f>
        <v>73</v>
      </c>
      <c r="H198" s="5" t="str">
        <f t="shared" si="3"/>
        <v>60+</v>
      </c>
    </row>
    <row r="199" spans="1:8" x14ac:dyDescent="0.3">
      <c r="A199" s="2" t="s">
        <v>348</v>
      </c>
      <c r="B199" s="2" t="s">
        <v>349</v>
      </c>
      <c r="C199" s="2" t="s">
        <v>350</v>
      </c>
      <c r="D199" s="3">
        <v>18184.43</v>
      </c>
      <c r="E199" s="4">
        <v>46000</v>
      </c>
      <c r="F199" s="4">
        <v>46028</v>
      </c>
      <c r="G199" s="5">
        <f>IF(Controls!$B$2&gt;F199,Controls!$B$2-F199,0)</f>
        <v>78</v>
      </c>
      <c r="H199" s="5" t="str">
        <f t="shared" si="3"/>
        <v>60+</v>
      </c>
    </row>
    <row r="200" spans="1:8" x14ac:dyDescent="0.3">
      <c r="A200" s="2" t="s">
        <v>312</v>
      </c>
      <c r="B200" s="2" t="s">
        <v>313</v>
      </c>
      <c r="C200" s="2" t="s">
        <v>351</v>
      </c>
      <c r="D200" s="3">
        <v>22792.05</v>
      </c>
      <c r="E200" s="4">
        <v>46081</v>
      </c>
      <c r="F200" s="4">
        <v>46098</v>
      </c>
      <c r="G200" s="5">
        <f>IF(Controls!$B$2&gt;F200,Controls!$B$2-F200,0)</f>
        <v>8</v>
      </c>
      <c r="H200" s="5" t="str">
        <f t="shared" si="3"/>
        <v>0-30</v>
      </c>
    </row>
    <row r="201" spans="1:8" x14ac:dyDescent="0.3">
      <c r="A201" s="2" t="s">
        <v>348</v>
      </c>
      <c r="B201" s="2" t="s">
        <v>349</v>
      </c>
      <c r="C201" s="2" t="s">
        <v>352</v>
      </c>
      <c r="D201" s="3">
        <v>15643.74</v>
      </c>
      <c r="E201" s="4">
        <v>46059</v>
      </c>
      <c r="F201" s="4">
        <v>46096</v>
      </c>
      <c r="G201" s="5">
        <f>IF(Controls!$B$2&gt;F201,Controls!$B$2-F201,0)</f>
        <v>10</v>
      </c>
      <c r="H201" s="5" t="str">
        <f t="shared" si="3"/>
        <v>0-30</v>
      </c>
    </row>
    <row r="202" spans="1:8" x14ac:dyDescent="0.3">
      <c r="A202" s="2" t="s">
        <v>353</v>
      </c>
      <c r="B202" s="2" t="s">
        <v>354</v>
      </c>
      <c r="C202" s="2" t="s">
        <v>355</v>
      </c>
      <c r="D202" s="3">
        <v>1014.03</v>
      </c>
      <c r="E202" s="4">
        <v>46029</v>
      </c>
      <c r="F202" s="4">
        <v>46088</v>
      </c>
      <c r="G202" s="5">
        <f>IF(Controls!$B$2&gt;F202,Controls!$B$2-F202,0)</f>
        <v>18</v>
      </c>
      <c r="H202" s="5" t="str">
        <f t="shared" si="3"/>
        <v>0-30</v>
      </c>
    </row>
    <row r="203" spans="1:8" x14ac:dyDescent="0.3">
      <c r="A203" s="2" t="s">
        <v>136</v>
      </c>
      <c r="B203" s="2" t="s">
        <v>137</v>
      </c>
      <c r="C203" s="2" t="s">
        <v>356</v>
      </c>
      <c r="D203" s="3">
        <v>18485.439999999999</v>
      </c>
      <c r="E203" s="4">
        <v>46045</v>
      </c>
      <c r="F203" s="4">
        <v>46097</v>
      </c>
      <c r="G203" s="5">
        <f>IF(Controls!$B$2&gt;F203,Controls!$B$2-F203,0)</f>
        <v>9</v>
      </c>
      <c r="H203" s="5" t="str">
        <f t="shared" si="3"/>
        <v>0-30</v>
      </c>
    </row>
    <row r="204" spans="1:8" x14ac:dyDescent="0.3">
      <c r="A204" s="2" t="s">
        <v>99</v>
      </c>
      <c r="B204" s="2" t="s">
        <v>100</v>
      </c>
      <c r="C204" s="2" t="s">
        <v>357</v>
      </c>
      <c r="D204" s="3">
        <v>20534.189999999999</v>
      </c>
      <c r="E204" s="4">
        <v>46130</v>
      </c>
      <c r="F204" s="4">
        <v>46149</v>
      </c>
      <c r="G204" s="5">
        <f>IF(Controls!$B$2&gt;F204,Controls!$B$2-F204,0)</f>
        <v>0</v>
      </c>
      <c r="H204" s="5" t="str">
        <f t="shared" si="3"/>
        <v>0-30</v>
      </c>
    </row>
    <row r="205" spans="1:8" x14ac:dyDescent="0.3">
      <c r="A205" s="2" t="s">
        <v>212</v>
      </c>
      <c r="B205" s="2" t="s">
        <v>213</v>
      </c>
      <c r="C205" s="2" t="s">
        <v>358</v>
      </c>
      <c r="D205" s="3">
        <v>5341.65</v>
      </c>
      <c r="E205" s="4">
        <v>46085</v>
      </c>
      <c r="F205" s="4">
        <v>46102</v>
      </c>
      <c r="G205" s="5">
        <f>IF(Controls!$B$2&gt;F205,Controls!$B$2-F205,0)</f>
        <v>4</v>
      </c>
      <c r="H205" s="5" t="str">
        <f t="shared" si="3"/>
        <v>0-30</v>
      </c>
    </row>
    <row r="206" spans="1:8" x14ac:dyDescent="0.3">
      <c r="A206" s="2" t="s">
        <v>103</v>
      </c>
      <c r="B206" s="2" t="s">
        <v>104</v>
      </c>
      <c r="C206" s="2" t="s">
        <v>359</v>
      </c>
      <c r="D206" s="3">
        <v>22800</v>
      </c>
      <c r="E206" s="4">
        <v>46127</v>
      </c>
      <c r="F206" s="4">
        <v>46147</v>
      </c>
      <c r="G206" s="5">
        <f>IF(Controls!$B$2&gt;F206,Controls!$B$2-F206,0)</f>
        <v>0</v>
      </c>
      <c r="H206" s="5" t="str">
        <f t="shared" si="3"/>
        <v>0-30</v>
      </c>
    </row>
    <row r="207" spans="1:8" x14ac:dyDescent="0.3">
      <c r="A207" s="2" t="s">
        <v>174</v>
      </c>
      <c r="B207" s="2" t="s">
        <v>175</v>
      </c>
      <c r="C207" s="2" t="s">
        <v>360</v>
      </c>
      <c r="D207" s="3">
        <v>3533.18</v>
      </c>
      <c r="E207" s="4">
        <v>46039</v>
      </c>
      <c r="F207" s="4">
        <v>46075</v>
      </c>
      <c r="G207" s="5">
        <f>IF(Controls!$B$2&gt;F207,Controls!$B$2-F207,0)</f>
        <v>31</v>
      </c>
      <c r="H207" s="5" t="str">
        <f t="shared" si="3"/>
        <v>31-60</v>
      </c>
    </row>
    <row r="208" spans="1:8" x14ac:dyDescent="0.3">
      <c r="A208" s="2" t="s">
        <v>78</v>
      </c>
      <c r="B208" s="2" t="s">
        <v>79</v>
      </c>
      <c r="C208" s="2" t="s">
        <v>361</v>
      </c>
      <c r="D208" s="3">
        <v>23269.91</v>
      </c>
      <c r="E208" s="4">
        <v>46050</v>
      </c>
      <c r="F208" s="4">
        <v>46110</v>
      </c>
      <c r="G208" s="5">
        <f>IF(Controls!$B$2&gt;F208,Controls!$B$2-F208,0)</f>
        <v>0</v>
      </c>
      <c r="H208" s="5" t="str">
        <f t="shared" si="3"/>
        <v>0-30</v>
      </c>
    </row>
    <row r="209" spans="1:8" x14ac:dyDescent="0.3">
      <c r="A209" s="2" t="s">
        <v>239</v>
      </c>
      <c r="B209" s="2" t="s">
        <v>240</v>
      </c>
      <c r="C209" s="2" t="s">
        <v>362</v>
      </c>
      <c r="D209" s="3">
        <v>19288.63</v>
      </c>
      <c r="E209" s="4">
        <v>46098</v>
      </c>
      <c r="F209" s="4">
        <v>46145</v>
      </c>
      <c r="G209" s="5">
        <f>IF(Controls!$B$2&gt;F209,Controls!$B$2-F209,0)</f>
        <v>0</v>
      </c>
      <c r="H209" s="5" t="str">
        <f t="shared" si="3"/>
        <v>0-30</v>
      </c>
    </row>
    <row r="210" spans="1:8" x14ac:dyDescent="0.3">
      <c r="A210" s="2" t="s">
        <v>174</v>
      </c>
      <c r="B210" s="2" t="s">
        <v>175</v>
      </c>
      <c r="C210" s="2" t="s">
        <v>363</v>
      </c>
      <c r="D210" s="3">
        <v>1016.79</v>
      </c>
      <c r="E210" s="4">
        <v>46037</v>
      </c>
      <c r="F210" s="4">
        <v>46053</v>
      </c>
      <c r="G210" s="5">
        <f>IF(Controls!$B$2&gt;F210,Controls!$B$2-F210,0)</f>
        <v>53</v>
      </c>
      <c r="H210" s="5" t="str">
        <f t="shared" si="3"/>
        <v>31-60</v>
      </c>
    </row>
    <row r="211" spans="1:8" x14ac:dyDescent="0.3">
      <c r="A211" s="2" t="s">
        <v>159</v>
      </c>
      <c r="B211" s="2" t="s">
        <v>160</v>
      </c>
      <c r="C211" s="2" t="s">
        <v>364</v>
      </c>
      <c r="D211" s="3">
        <v>17690.32</v>
      </c>
      <c r="E211" s="4">
        <v>45997</v>
      </c>
      <c r="F211" s="4">
        <v>46048</v>
      </c>
      <c r="G211" s="5">
        <f>IF(Controls!$B$2&gt;F211,Controls!$B$2-F211,0)</f>
        <v>58</v>
      </c>
      <c r="H211" s="5" t="str">
        <f t="shared" si="3"/>
        <v>31-60</v>
      </c>
    </row>
    <row r="212" spans="1:8" x14ac:dyDescent="0.3">
      <c r="A212" s="2" t="s">
        <v>31</v>
      </c>
      <c r="B212" s="2" t="s">
        <v>32</v>
      </c>
      <c r="C212" s="2" t="s">
        <v>365</v>
      </c>
      <c r="D212" s="3">
        <v>20738.79</v>
      </c>
      <c r="E212" s="4">
        <v>45999</v>
      </c>
      <c r="F212" s="4">
        <v>46032</v>
      </c>
      <c r="G212" s="5">
        <f>IF(Controls!$B$2&gt;F212,Controls!$B$2-F212,0)</f>
        <v>74</v>
      </c>
      <c r="H212" s="5" t="str">
        <f t="shared" si="3"/>
        <v>60+</v>
      </c>
    </row>
    <row r="213" spans="1:8" x14ac:dyDescent="0.3">
      <c r="A213" s="2" t="s">
        <v>366</v>
      </c>
      <c r="B213" s="2" t="s">
        <v>367</v>
      </c>
      <c r="C213" s="2" t="s">
        <v>368</v>
      </c>
      <c r="D213" s="3">
        <v>7386.28</v>
      </c>
      <c r="E213" s="4">
        <v>46049</v>
      </c>
      <c r="F213" s="4">
        <v>46095</v>
      </c>
      <c r="G213" s="5">
        <f>IF(Controls!$B$2&gt;F213,Controls!$B$2-F213,0)</f>
        <v>11</v>
      </c>
      <c r="H213" s="5" t="str">
        <f t="shared" si="3"/>
        <v>0-30</v>
      </c>
    </row>
    <row r="214" spans="1:8" x14ac:dyDescent="0.3">
      <c r="A214" s="2" t="s">
        <v>82</v>
      </c>
      <c r="B214" s="2" t="s">
        <v>83</v>
      </c>
      <c r="C214" s="2" t="s">
        <v>369</v>
      </c>
      <c r="D214" s="3">
        <v>14915.73</v>
      </c>
      <c r="E214" s="4">
        <v>46108</v>
      </c>
      <c r="F214" s="4">
        <v>46139</v>
      </c>
      <c r="G214" s="5">
        <f>IF(Controls!$B$2&gt;F214,Controls!$B$2-F214,0)</f>
        <v>0</v>
      </c>
      <c r="H214" s="5" t="str">
        <f t="shared" si="3"/>
        <v>0-30</v>
      </c>
    </row>
    <row r="215" spans="1:8" x14ac:dyDescent="0.3">
      <c r="A215" s="2" t="s">
        <v>120</v>
      </c>
      <c r="B215" s="2" t="s">
        <v>121</v>
      </c>
      <c r="C215" s="2" t="s">
        <v>370</v>
      </c>
      <c r="D215" s="3">
        <v>5564.18</v>
      </c>
      <c r="E215" s="4">
        <v>45998</v>
      </c>
      <c r="F215" s="4">
        <v>46027</v>
      </c>
      <c r="G215" s="5">
        <f>IF(Controls!$B$2&gt;F215,Controls!$B$2-F215,0)</f>
        <v>79</v>
      </c>
      <c r="H215" s="5" t="str">
        <f t="shared" si="3"/>
        <v>60+</v>
      </c>
    </row>
    <row r="216" spans="1:8" x14ac:dyDescent="0.3">
      <c r="A216" s="2" t="s">
        <v>109</v>
      </c>
      <c r="B216" s="2" t="s">
        <v>110</v>
      </c>
      <c r="C216" s="2" t="s">
        <v>371</v>
      </c>
      <c r="D216" s="3">
        <v>23483.11</v>
      </c>
      <c r="E216" s="4">
        <v>45998</v>
      </c>
      <c r="F216" s="4">
        <v>46018</v>
      </c>
      <c r="G216" s="5">
        <f>IF(Controls!$B$2&gt;F216,Controls!$B$2-F216,0)</f>
        <v>88</v>
      </c>
      <c r="H216" s="5" t="str">
        <f t="shared" si="3"/>
        <v>60+</v>
      </c>
    </row>
    <row r="217" spans="1:8" x14ac:dyDescent="0.3">
      <c r="A217" s="2" t="s">
        <v>71</v>
      </c>
      <c r="B217" s="2" t="s">
        <v>72</v>
      </c>
      <c r="C217" s="2" t="s">
        <v>372</v>
      </c>
      <c r="D217" s="3">
        <v>17504.669999999998</v>
      </c>
      <c r="E217" s="4">
        <v>45984</v>
      </c>
      <c r="F217" s="4">
        <v>46005</v>
      </c>
      <c r="G217" s="5">
        <f>IF(Controls!$B$2&gt;F217,Controls!$B$2-F217,0)</f>
        <v>101</v>
      </c>
      <c r="H217" s="5" t="str">
        <f t="shared" si="3"/>
        <v>60+</v>
      </c>
    </row>
    <row r="218" spans="1:8" x14ac:dyDescent="0.3">
      <c r="A218" s="2" t="s">
        <v>36</v>
      </c>
      <c r="B218" s="2" t="s">
        <v>37</v>
      </c>
      <c r="C218" s="2" t="s">
        <v>373</v>
      </c>
      <c r="D218" s="3">
        <v>23230.49</v>
      </c>
      <c r="E218" s="4">
        <v>46001</v>
      </c>
      <c r="F218" s="4">
        <v>46021</v>
      </c>
      <c r="G218" s="5">
        <f>IF(Controls!$B$2&gt;F218,Controls!$B$2-F218,0)</f>
        <v>85</v>
      </c>
      <c r="H218" s="5" t="str">
        <f t="shared" si="3"/>
        <v>60+</v>
      </c>
    </row>
    <row r="219" spans="1:8" x14ac:dyDescent="0.3">
      <c r="A219" s="2" t="s">
        <v>256</v>
      </c>
      <c r="B219" s="2" t="s">
        <v>257</v>
      </c>
      <c r="C219" s="2" t="s">
        <v>374</v>
      </c>
      <c r="D219" s="3">
        <v>873.06</v>
      </c>
      <c r="E219" s="4">
        <v>46086</v>
      </c>
      <c r="F219" s="4">
        <v>46120</v>
      </c>
      <c r="G219" s="5">
        <f>IF(Controls!$B$2&gt;F219,Controls!$B$2-F219,0)</f>
        <v>0</v>
      </c>
      <c r="H219" s="5" t="str">
        <f t="shared" si="3"/>
        <v>0-30</v>
      </c>
    </row>
    <row r="220" spans="1:8" x14ac:dyDescent="0.3">
      <c r="A220" s="2" t="s">
        <v>375</v>
      </c>
      <c r="B220" s="2" t="s">
        <v>376</v>
      </c>
      <c r="C220" s="2" t="s">
        <v>377</v>
      </c>
      <c r="D220" s="3">
        <v>9637.7999999999993</v>
      </c>
      <c r="E220" s="4">
        <v>46049</v>
      </c>
      <c r="F220" s="4">
        <v>46072</v>
      </c>
      <c r="G220" s="5">
        <f>IF(Controls!$B$2&gt;F220,Controls!$B$2-F220,0)</f>
        <v>34</v>
      </c>
      <c r="H220" s="5" t="str">
        <f t="shared" si="3"/>
        <v>31-60</v>
      </c>
    </row>
    <row r="221" spans="1:8" x14ac:dyDescent="0.3">
      <c r="A221" s="2" t="s">
        <v>251</v>
      </c>
      <c r="B221" s="2" t="s">
        <v>252</v>
      </c>
      <c r="C221" s="2" t="s">
        <v>378</v>
      </c>
      <c r="D221" s="3">
        <v>8875.01</v>
      </c>
      <c r="E221" s="4">
        <v>46016</v>
      </c>
      <c r="F221" s="4">
        <v>46064</v>
      </c>
      <c r="G221" s="5">
        <f>IF(Controls!$B$2&gt;F221,Controls!$B$2-F221,0)</f>
        <v>42</v>
      </c>
      <c r="H221" s="5" t="str">
        <f t="shared" si="3"/>
        <v>31-60</v>
      </c>
    </row>
    <row r="222" spans="1:8" x14ac:dyDescent="0.3">
      <c r="A222" s="2" t="s">
        <v>60</v>
      </c>
      <c r="B222" s="2" t="s">
        <v>61</v>
      </c>
      <c r="C222" s="2" t="s">
        <v>379</v>
      </c>
      <c r="D222" s="3">
        <v>18614.18</v>
      </c>
      <c r="E222" s="4">
        <v>46040</v>
      </c>
      <c r="F222" s="4">
        <v>46084</v>
      </c>
      <c r="G222" s="5">
        <f>IF(Controls!$B$2&gt;F222,Controls!$B$2-F222,0)</f>
        <v>22</v>
      </c>
      <c r="H222" s="5" t="str">
        <f t="shared" si="3"/>
        <v>0-30</v>
      </c>
    </row>
    <row r="223" spans="1:8" x14ac:dyDescent="0.3">
      <c r="A223" s="2" t="s">
        <v>68</v>
      </c>
      <c r="B223" s="2" t="s">
        <v>69</v>
      </c>
      <c r="C223" s="2" t="s">
        <v>380</v>
      </c>
      <c r="D223" s="3">
        <v>3369.91</v>
      </c>
      <c r="E223" s="4">
        <v>45990</v>
      </c>
      <c r="F223" s="4">
        <v>46046</v>
      </c>
      <c r="G223" s="5">
        <f>IF(Controls!$B$2&gt;F223,Controls!$B$2-F223,0)</f>
        <v>60</v>
      </c>
      <c r="H223" s="5" t="str">
        <f t="shared" si="3"/>
        <v>31-60</v>
      </c>
    </row>
    <row r="224" spans="1:8" x14ac:dyDescent="0.3">
      <c r="A224" s="2" t="s">
        <v>345</v>
      </c>
      <c r="B224" s="2" t="s">
        <v>346</v>
      </c>
      <c r="C224" s="2" t="s">
        <v>381</v>
      </c>
      <c r="D224" s="3">
        <v>6870.2</v>
      </c>
      <c r="E224" s="4">
        <v>46052</v>
      </c>
      <c r="F224" s="4">
        <v>46082</v>
      </c>
      <c r="G224" s="5">
        <f>IF(Controls!$B$2&gt;F224,Controls!$B$2-F224,0)</f>
        <v>24</v>
      </c>
      <c r="H224" s="5" t="str">
        <f t="shared" si="3"/>
        <v>0-30</v>
      </c>
    </row>
    <row r="225" spans="1:8" x14ac:dyDescent="0.3">
      <c r="A225" s="2" t="s">
        <v>251</v>
      </c>
      <c r="B225" s="2" t="s">
        <v>252</v>
      </c>
      <c r="C225" s="2" t="s">
        <v>382</v>
      </c>
      <c r="D225" s="3">
        <v>4232.88</v>
      </c>
      <c r="E225" s="4">
        <v>46029</v>
      </c>
      <c r="F225" s="4">
        <v>46060</v>
      </c>
      <c r="G225" s="5">
        <f>IF(Controls!$B$2&gt;F225,Controls!$B$2-F225,0)</f>
        <v>46</v>
      </c>
      <c r="H225" s="5" t="str">
        <f t="shared" si="3"/>
        <v>31-60</v>
      </c>
    </row>
    <row r="226" spans="1:8" x14ac:dyDescent="0.3">
      <c r="A226" s="2" t="s">
        <v>28</v>
      </c>
      <c r="B226" s="2" t="s">
        <v>29</v>
      </c>
      <c r="C226" s="2" t="s">
        <v>383</v>
      </c>
      <c r="D226" s="3">
        <v>16533.02</v>
      </c>
      <c r="E226" s="4">
        <v>46052</v>
      </c>
      <c r="F226" s="4">
        <v>46091</v>
      </c>
      <c r="G226" s="5">
        <f>IF(Controls!$B$2&gt;F226,Controls!$B$2-F226,0)</f>
        <v>15</v>
      </c>
      <c r="H226" s="5" t="str">
        <f t="shared" si="3"/>
        <v>0-30</v>
      </c>
    </row>
    <row r="227" spans="1:8" x14ac:dyDescent="0.3">
      <c r="A227" s="2" t="s">
        <v>132</v>
      </c>
      <c r="B227" s="2" t="s">
        <v>133</v>
      </c>
      <c r="C227" s="2" t="s">
        <v>384</v>
      </c>
      <c r="D227" s="3">
        <v>19923.47</v>
      </c>
      <c r="E227" s="4">
        <v>46084</v>
      </c>
      <c r="F227" s="4">
        <v>46126</v>
      </c>
      <c r="G227" s="5">
        <f>IF(Controls!$B$2&gt;F227,Controls!$B$2-F227,0)</f>
        <v>0</v>
      </c>
      <c r="H227" s="5" t="str">
        <f t="shared" si="3"/>
        <v>0-30</v>
      </c>
    </row>
    <row r="228" spans="1:8" x14ac:dyDescent="0.3">
      <c r="A228" s="2" t="s">
        <v>28</v>
      </c>
      <c r="B228" s="2" t="s">
        <v>29</v>
      </c>
      <c r="C228" s="2" t="s">
        <v>385</v>
      </c>
      <c r="D228" s="3">
        <v>2895.03</v>
      </c>
      <c r="E228" s="4">
        <v>46040</v>
      </c>
      <c r="F228" s="4">
        <v>46079</v>
      </c>
      <c r="G228" s="5">
        <f>IF(Controls!$B$2&gt;F228,Controls!$B$2-F228,0)</f>
        <v>27</v>
      </c>
      <c r="H228" s="5" t="str">
        <f t="shared" si="3"/>
        <v>0-30</v>
      </c>
    </row>
    <row r="229" spans="1:8" x14ac:dyDescent="0.3">
      <c r="A229" s="2" t="s">
        <v>341</v>
      </c>
      <c r="B229" s="2" t="s">
        <v>342</v>
      </c>
      <c r="C229" s="2" t="s">
        <v>386</v>
      </c>
      <c r="D229" s="3">
        <v>19827.36</v>
      </c>
      <c r="E229" s="4">
        <v>46018</v>
      </c>
      <c r="F229" s="4">
        <v>46073</v>
      </c>
      <c r="G229" s="5">
        <f>IF(Controls!$B$2&gt;F229,Controls!$B$2-F229,0)</f>
        <v>33</v>
      </c>
      <c r="H229" s="5" t="str">
        <f t="shared" si="3"/>
        <v>31-60</v>
      </c>
    </row>
    <row r="230" spans="1:8" x14ac:dyDescent="0.3">
      <c r="A230" s="2" t="s">
        <v>78</v>
      </c>
      <c r="B230" s="2" t="s">
        <v>79</v>
      </c>
      <c r="C230" s="2" t="s">
        <v>387</v>
      </c>
      <c r="D230" s="3">
        <v>15191.79</v>
      </c>
      <c r="E230" s="4">
        <v>46050</v>
      </c>
      <c r="F230" s="4">
        <v>46065</v>
      </c>
      <c r="G230" s="5">
        <f>IF(Controls!$B$2&gt;F230,Controls!$B$2-F230,0)</f>
        <v>41</v>
      </c>
      <c r="H230" s="5" t="str">
        <f t="shared" si="3"/>
        <v>31-60</v>
      </c>
    </row>
    <row r="231" spans="1:8" x14ac:dyDescent="0.3">
      <c r="A231" s="2" t="s">
        <v>145</v>
      </c>
      <c r="B231" s="2" t="s">
        <v>146</v>
      </c>
      <c r="C231" s="2" t="s">
        <v>388</v>
      </c>
      <c r="D231" s="3">
        <v>10893.2</v>
      </c>
      <c r="E231" s="4">
        <v>46091</v>
      </c>
      <c r="F231" s="4">
        <v>46143</v>
      </c>
      <c r="G231" s="5">
        <f>IF(Controls!$B$2&gt;F231,Controls!$B$2-F231,0)</f>
        <v>0</v>
      </c>
      <c r="H231" s="5" t="str">
        <f t="shared" si="3"/>
        <v>0-30</v>
      </c>
    </row>
    <row r="232" spans="1:8" x14ac:dyDescent="0.3">
      <c r="A232" s="2" t="s">
        <v>222</v>
      </c>
      <c r="B232" s="2" t="s">
        <v>223</v>
      </c>
      <c r="C232" s="2" t="s">
        <v>389</v>
      </c>
      <c r="D232" s="3">
        <v>16780.419999999998</v>
      </c>
      <c r="E232" s="4">
        <v>46092</v>
      </c>
      <c r="F232" s="4">
        <v>46148</v>
      </c>
      <c r="G232" s="5">
        <f>IF(Controls!$B$2&gt;F232,Controls!$B$2-F232,0)</f>
        <v>0</v>
      </c>
      <c r="H232" s="5" t="str">
        <f t="shared" si="3"/>
        <v>0-30</v>
      </c>
    </row>
    <row r="233" spans="1:8" x14ac:dyDescent="0.3">
      <c r="A233" s="2" t="s">
        <v>7</v>
      </c>
      <c r="B233" s="2" t="s">
        <v>8</v>
      </c>
      <c r="C233" s="2" t="s">
        <v>390</v>
      </c>
      <c r="D233" s="3">
        <v>16128.09</v>
      </c>
      <c r="E233" s="4">
        <v>46005</v>
      </c>
      <c r="F233" s="4">
        <v>46047</v>
      </c>
      <c r="G233" s="5">
        <f>IF(Controls!$B$2&gt;F233,Controls!$B$2-F233,0)</f>
        <v>59</v>
      </c>
      <c r="H233" s="5" t="str">
        <f t="shared" si="3"/>
        <v>31-60</v>
      </c>
    </row>
    <row r="234" spans="1:8" x14ac:dyDescent="0.3">
      <c r="A234" s="2" t="s">
        <v>159</v>
      </c>
      <c r="B234" s="2" t="s">
        <v>160</v>
      </c>
      <c r="C234" s="2" t="s">
        <v>391</v>
      </c>
      <c r="D234" s="3">
        <v>6249.3</v>
      </c>
      <c r="E234" s="4">
        <v>46072</v>
      </c>
      <c r="F234" s="4">
        <v>46132</v>
      </c>
      <c r="G234" s="5">
        <f>IF(Controls!$B$2&gt;F234,Controls!$B$2-F234,0)</f>
        <v>0</v>
      </c>
      <c r="H234" s="5" t="str">
        <f t="shared" si="3"/>
        <v>0-30</v>
      </c>
    </row>
    <row r="235" spans="1:8" x14ac:dyDescent="0.3">
      <c r="A235" s="2" t="s">
        <v>120</v>
      </c>
      <c r="B235" s="2" t="s">
        <v>121</v>
      </c>
      <c r="C235" s="2" t="s">
        <v>392</v>
      </c>
      <c r="D235" s="3">
        <v>10733.6</v>
      </c>
      <c r="E235" s="4">
        <v>46042</v>
      </c>
      <c r="F235" s="4">
        <v>46058</v>
      </c>
      <c r="G235" s="5">
        <f>IF(Controls!$B$2&gt;F235,Controls!$B$2-F235,0)</f>
        <v>48</v>
      </c>
      <c r="H235" s="5" t="str">
        <f t="shared" si="3"/>
        <v>31-60</v>
      </c>
    </row>
    <row r="236" spans="1:8" x14ac:dyDescent="0.3">
      <c r="A236" s="2" t="s">
        <v>260</v>
      </c>
      <c r="B236" s="2" t="s">
        <v>261</v>
      </c>
      <c r="C236" s="2" t="s">
        <v>393</v>
      </c>
      <c r="D236" s="3">
        <v>13076.74</v>
      </c>
      <c r="E236" s="4">
        <v>46123</v>
      </c>
      <c r="F236" s="4">
        <v>46149</v>
      </c>
      <c r="G236" s="5">
        <f>IF(Controls!$B$2&gt;F236,Controls!$B$2-F236,0)</f>
        <v>0</v>
      </c>
      <c r="H236" s="5" t="str">
        <f t="shared" si="3"/>
        <v>0-30</v>
      </c>
    </row>
    <row r="237" spans="1:8" x14ac:dyDescent="0.3">
      <c r="A237" s="2" t="s">
        <v>57</v>
      </c>
      <c r="B237" s="2" t="s">
        <v>58</v>
      </c>
      <c r="C237" s="2" t="s">
        <v>394</v>
      </c>
      <c r="D237" s="3">
        <v>9870.5300000000007</v>
      </c>
      <c r="E237" s="4">
        <v>46022</v>
      </c>
      <c r="F237" s="4">
        <v>46043</v>
      </c>
      <c r="G237" s="5">
        <f>IF(Controls!$B$2&gt;F237,Controls!$B$2-F237,0)</f>
        <v>63</v>
      </c>
      <c r="H237" s="5" t="str">
        <f t="shared" si="3"/>
        <v>60+</v>
      </c>
    </row>
    <row r="238" spans="1:8" x14ac:dyDescent="0.3">
      <c r="A238" s="2" t="s">
        <v>375</v>
      </c>
      <c r="B238" s="2" t="s">
        <v>376</v>
      </c>
      <c r="C238" s="2" t="s">
        <v>395</v>
      </c>
      <c r="D238" s="3">
        <v>17976.349999999999</v>
      </c>
      <c r="E238" s="4">
        <v>46043</v>
      </c>
      <c r="F238" s="4">
        <v>46091</v>
      </c>
      <c r="G238" s="5">
        <f>IF(Controls!$B$2&gt;F238,Controls!$B$2-F238,0)</f>
        <v>15</v>
      </c>
      <c r="H238" s="5" t="str">
        <f t="shared" si="3"/>
        <v>0-30</v>
      </c>
    </row>
    <row r="239" spans="1:8" x14ac:dyDescent="0.3">
      <c r="A239" s="2" t="s">
        <v>25</v>
      </c>
      <c r="B239" s="2" t="s">
        <v>26</v>
      </c>
      <c r="C239" s="2" t="s">
        <v>396</v>
      </c>
      <c r="D239" s="3">
        <v>14470.37</v>
      </c>
      <c r="E239" s="4">
        <v>46019</v>
      </c>
      <c r="F239" s="4">
        <v>46047</v>
      </c>
      <c r="G239" s="5">
        <f>IF(Controls!$B$2&gt;F239,Controls!$B$2-F239,0)</f>
        <v>59</v>
      </c>
      <c r="H239" s="5" t="str">
        <f t="shared" si="3"/>
        <v>31-60</v>
      </c>
    </row>
    <row r="240" spans="1:8" x14ac:dyDescent="0.3">
      <c r="A240" s="2" t="s">
        <v>45</v>
      </c>
      <c r="B240" s="2" t="s">
        <v>46</v>
      </c>
      <c r="C240" s="2" t="s">
        <v>397</v>
      </c>
      <c r="D240" s="3">
        <v>16071.72</v>
      </c>
      <c r="E240" s="4">
        <v>46013</v>
      </c>
      <c r="F240" s="4">
        <v>46054</v>
      </c>
      <c r="G240" s="5">
        <f>IF(Controls!$B$2&gt;F240,Controls!$B$2-F240,0)</f>
        <v>52</v>
      </c>
      <c r="H240" s="5" t="str">
        <f t="shared" si="3"/>
        <v>31-60</v>
      </c>
    </row>
    <row r="241" spans="1:8" x14ac:dyDescent="0.3">
      <c r="A241" s="2" t="s">
        <v>152</v>
      </c>
      <c r="B241" s="2" t="s">
        <v>153</v>
      </c>
      <c r="C241" s="2" t="s">
        <v>398</v>
      </c>
      <c r="D241" s="3">
        <v>17187.919999999998</v>
      </c>
      <c r="E241" s="4">
        <v>46019</v>
      </c>
      <c r="F241" s="4">
        <v>46066</v>
      </c>
      <c r="G241" s="5">
        <f>IF(Controls!$B$2&gt;F241,Controls!$B$2-F241,0)</f>
        <v>40</v>
      </c>
      <c r="H241" s="5" t="str">
        <f t="shared" si="3"/>
        <v>31-60</v>
      </c>
    </row>
    <row r="242" spans="1:8" x14ac:dyDescent="0.3">
      <c r="A242" s="2" t="s">
        <v>13</v>
      </c>
      <c r="B242" s="2" t="s">
        <v>14</v>
      </c>
      <c r="C242" s="2" t="s">
        <v>399</v>
      </c>
      <c r="D242" s="3">
        <v>15446.56</v>
      </c>
      <c r="E242" s="4">
        <v>46006</v>
      </c>
      <c r="F242" s="4">
        <v>46024</v>
      </c>
      <c r="G242" s="5">
        <f>IF(Controls!$B$2&gt;F242,Controls!$B$2-F242,0)</f>
        <v>82</v>
      </c>
      <c r="H242" s="5" t="str">
        <f t="shared" si="3"/>
        <v>60+</v>
      </c>
    </row>
    <row r="243" spans="1:8" x14ac:dyDescent="0.3">
      <c r="A243" s="2" t="s">
        <v>142</v>
      </c>
      <c r="B243" s="2" t="s">
        <v>143</v>
      </c>
      <c r="C243" s="2" t="s">
        <v>400</v>
      </c>
      <c r="D243" s="3">
        <v>579.38</v>
      </c>
      <c r="E243" s="4">
        <v>45993</v>
      </c>
      <c r="F243" s="4">
        <v>46048</v>
      </c>
      <c r="G243" s="5">
        <f>IF(Controls!$B$2&gt;F243,Controls!$B$2-F243,0)</f>
        <v>58</v>
      </c>
      <c r="H243" s="5" t="str">
        <f t="shared" si="3"/>
        <v>31-60</v>
      </c>
    </row>
    <row r="244" spans="1:8" x14ac:dyDescent="0.3">
      <c r="A244" s="2" t="s">
        <v>36</v>
      </c>
      <c r="B244" s="2" t="s">
        <v>37</v>
      </c>
      <c r="C244" s="2" t="s">
        <v>401</v>
      </c>
      <c r="D244" s="3">
        <v>2954.15</v>
      </c>
      <c r="E244" s="4">
        <v>46027</v>
      </c>
      <c r="F244" s="4">
        <v>46067</v>
      </c>
      <c r="G244" s="5">
        <f>IF(Controls!$B$2&gt;F244,Controls!$B$2-F244,0)</f>
        <v>39</v>
      </c>
      <c r="H244" s="5" t="str">
        <f t="shared" si="3"/>
        <v>31-60</v>
      </c>
    </row>
    <row r="245" spans="1:8" x14ac:dyDescent="0.3">
      <c r="A245" s="2" t="s">
        <v>48</v>
      </c>
      <c r="B245" s="2" t="s">
        <v>49</v>
      </c>
      <c r="C245" s="2" t="s">
        <v>402</v>
      </c>
      <c r="D245" s="3">
        <v>24857.200000000001</v>
      </c>
      <c r="E245" s="4">
        <v>46088</v>
      </c>
      <c r="F245" s="4">
        <v>46132</v>
      </c>
      <c r="G245" s="5">
        <f>IF(Controls!$B$2&gt;F245,Controls!$B$2-F245,0)</f>
        <v>0</v>
      </c>
      <c r="H245" s="5" t="str">
        <f t="shared" si="3"/>
        <v>0-30</v>
      </c>
    </row>
    <row r="246" spans="1:8" x14ac:dyDescent="0.3">
      <c r="A246" s="2" t="s">
        <v>205</v>
      </c>
      <c r="B246" s="2" t="s">
        <v>206</v>
      </c>
      <c r="C246" s="2" t="s">
        <v>403</v>
      </c>
      <c r="D246" s="3">
        <v>1955.15</v>
      </c>
      <c r="E246" s="4">
        <v>46120</v>
      </c>
      <c r="F246" s="4">
        <v>46147</v>
      </c>
      <c r="G246" s="5">
        <f>IF(Controls!$B$2&gt;F246,Controls!$B$2-F246,0)</f>
        <v>0</v>
      </c>
      <c r="H246" s="5" t="str">
        <f t="shared" si="3"/>
        <v>0-30</v>
      </c>
    </row>
    <row r="247" spans="1:8" x14ac:dyDescent="0.3">
      <c r="A247" s="2" t="s">
        <v>54</v>
      </c>
      <c r="B247" s="2" t="s">
        <v>55</v>
      </c>
      <c r="C247" s="2" t="s">
        <v>404</v>
      </c>
      <c r="D247" s="3">
        <v>20412.32</v>
      </c>
      <c r="E247" s="4">
        <v>46050</v>
      </c>
      <c r="F247" s="4">
        <v>46087</v>
      </c>
      <c r="G247" s="5">
        <f>IF(Controls!$B$2&gt;F247,Controls!$B$2-F247,0)</f>
        <v>19</v>
      </c>
      <c r="H247" s="5" t="str">
        <f t="shared" si="3"/>
        <v>0-30</v>
      </c>
    </row>
    <row r="248" spans="1:8" x14ac:dyDescent="0.3">
      <c r="A248" s="2" t="s">
        <v>329</v>
      </c>
      <c r="B248" s="2" t="s">
        <v>330</v>
      </c>
      <c r="C248" s="2" t="s">
        <v>464</v>
      </c>
      <c r="D248" s="3">
        <v>7534.97</v>
      </c>
      <c r="E248" s="4">
        <v>45986</v>
      </c>
      <c r="F248" s="4">
        <v>46031</v>
      </c>
      <c r="G248" s="5">
        <f>IF(Controls!$B$2&gt;F248,Controls!$B$2-F248,0)</f>
        <v>75</v>
      </c>
      <c r="H248" s="5" t="str">
        <f t="shared" si="3"/>
        <v>60+</v>
      </c>
    </row>
    <row r="249" spans="1:8" x14ac:dyDescent="0.3">
      <c r="A249" s="2" t="s">
        <v>7</v>
      </c>
      <c r="B249" s="2" t="s">
        <v>8</v>
      </c>
      <c r="C249" s="2" t="s">
        <v>405</v>
      </c>
      <c r="D249" s="3">
        <v>9559.68</v>
      </c>
      <c r="E249" s="4">
        <v>46042</v>
      </c>
      <c r="F249" s="4">
        <v>46084</v>
      </c>
      <c r="G249" s="5">
        <f>IF(Controls!$B$2&gt;F249,Controls!$B$2-F249,0)</f>
        <v>22</v>
      </c>
      <c r="H249" s="5" t="str">
        <f t="shared" si="3"/>
        <v>0-30</v>
      </c>
    </row>
    <row r="250" spans="1:8" x14ac:dyDescent="0.3">
      <c r="A250" s="2" t="s">
        <v>82</v>
      </c>
      <c r="B250" s="2" t="s">
        <v>83</v>
      </c>
      <c r="C250" s="2" t="s">
        <v>406</v>
      </c>
      <c r="D250" s="3">
        <v>20184.560000000001</v>
      </c>
      <c r="E250" s="4">
        <v>46010</v>
      </c>
      <c r="F250" s="4">
        <v>46066</v>
      </c>
      <c r="G250" s="5">
        <f>IF(Controls!$B$2&gt;F250,Controls!$B$2-F250,0)</f>
        <v>40</v>
      </c>
      <c r="H250" s="5" t="str">
        <f t="shared" si="3"/>
        <v>31-60</v>
      </c>
    </row>
    <row r="251" spans="1:8" x14ac:dyDescent="0.3">
      <c r="A251" s="2" t="s">
        <v>10</v>
      </c>
      <c r="B251" s="2" t="s">
        <v>11</v>
      </c>
      <c r="C251" s="2" t="s">
        <v>407</v>
      </c>
      <c r="D251" s="3">
        <v>15678.26</v>
      </c>
      <c r="E251" s="4">
        <v>46053</v>
      </c>
      <c r="F251" s="4">
        <v>46091</v>
      </c>
      <c r="G251" s="5">
        <f>IF(Controls!$B$2&gt;F251,Controls!$B$2-F251,0)</f>
        <v>15</v>
      </c>
      <c r="H251" s="5" t="str">
        <f t="shared" si="3"/>
        <v>0-30</v>
      </c>
    </row>
    <row r="252" spans="1:8" x14ac:dyDescent="0.3">
      <c r="A252" s="2" t="s">
        <v>129</v>
      </c>
      <c r="B252" s="2" t="s">
        <v>130</v>
      </c>
      <c r="C252" s="2" t="s">
        <v>408</v>
      </c>
      <c r="D252" s="3">
        <v>1662.31</v>
      </c>
      <c r="E252" s="4">
        <v>46108</v>
      </c>
      <c r="F252" s="4">
        <v>46143</v>
      </c>
      <c r="G252" s="5">
        <f>IF(Controls!$B$2&gt;F252,Controls!$B$2-F252,0)</f>
        <v>0</v>
      </c>
      <c r="H252" s="5" t="str">
        <f t="shared" si="3"/>
        <v>0-30</v>
      </c>
    </row>
    <row r="253" spans="1:8" x14ac:dyDescent="0.3">
      <c r="A253" s="2" t="s">
        <v>113</v>
      </c>
      <c r="B253" s="2" t="s">
        <v>114</v>
      </c>
      <c r="C253" s="2" t="s">
        <v>409</v>
      </c>
      <c r="D253" s="3">
        <v>8792.4699999999993</v>
      </c>
      <c r="E253" s="4">
        <v>46012</v>
      </c>
      <c r="F253" s="4">
        <v>46027</v>
      </c>
      <c r="G253" s="5">
        <f>IF(Controls!$B$2&gt;F253,Controls!$B$2-F253,0)</f>
        <v>79</v>
      </c>
      <c r="H253" s="5" t="str">
        <f t="shared" si="3"/>
        <v>60+</v>
      </c>
    </row>
    <row r="254" spans="1:8" x14ac:dyDescent="0.3">
      <c r="A254" s="2" t="s">
        <v>149</v>
      </c>
      <c r="B254" s="2" t="s">
        <v>150</v>
      </c>
      <c r="C254" s="2" t="s">
        <v>410</v>
      </c>
      <c r="D254" s="3">
        <v>6438.16</v>
      </c>
      <c r="E254" s="4">
        <v>46041</v>
      </c>
      <c r="F254" s="4">
        <v>46093</v>
      </c>
      <c r="G254" s="5">
        <f>IF(Controls!$B$2&gt;F254,Controls!$B$2-F254,0)</f>
        <v>13</v>
      </c>
      <c r="H254" s="5" t="str">
        <f t="shared" si="3"/>
        <v>0-30</v>
      </c>
    </row>
    <row r="255" spans="1:8" x14ac:dyDescent="0.3">
      <c r="A255" s="2" t="s">
        <v>7</v>
      </c>
      <c r="B255" s="2" t="s">
        <v>8</v>
      </c>
      <c r="C255" s="2" t="s">
        <v>411</v>
      </c>
      <c r="D255" s="3">
        <v>11436</v>
      </c>
      <c r="E255" s="4">
        <v>45992</v>
      </c>
      <c r="F255" s="4">
        <v>46016</v>
      </c>
      <c r="G255" s="5">
        <f>IF(Controls!$B$2&gt;F255,Controls!$B$2-F255,0)</f>
        <v>90</v>
      </c>
      <c r="H255" s="5" t="str">
        <f t="shared" si="3"/>
        <v>60+</v>
      </c>
    </row>
    <row r="256" spans="1:8" x14ac:dyDescent="0.3">
      <c r="A256" s="2" t="s">
        <v>274</v>
      </c>
      <c r="B256" s="2" t="s">
        <v>275</v>
      </c>
      <c r="C256" s="2" t="s">
        <v>412</v>
      </c>
      <c r="D256" s="3">
        <v>19843.939999999999</v>
      </c>
      <c r="E256" s="4">
        <v>46063</v>
      </c>
      <c r="F256" s="4">
        <v>46117</v>
      </c>
      <c r="G256" s="5">
        <f>IF(Controls!$B$2&gt;F256,Controls!$B$2-F256,0)</f>
        <v>0</v>
      </c>
      <c r="H256" s="5" t="str">
        <f t="shared" si="3"/>
        <v>0-30</v>
      </c>
    </row>
    <row r="257" spans="1:8" x14ac:dyDescent="0.3">
      <c r="A257" s="2" t="s">
        <v>251</v>
      </c>
      <c r="B257" s="2" t="s">
        <v>252</v>
      </c>
      <c r="C257" s="2" t="s">
        <v>413</v>
      </c>
      <c r="D257" s="3">
        <v>2487.54</v>
      </c>
      <c r="E257" s="4">
        <v>46087</v>
      </c>
      <c r="F257" s="4">
        <v>46142</v>
      </c>
      <c r="G257" s="5">
        <f>IF(Controls!$B$2&gt;F257,Controls!$B$2-F257,0)</f>
        <v>0</v>
      </c>
      <c r="H257" s="5" t="str">
        <f t="shared" si="3"/>
        <v>0-30</v>
      </c>
    </row>
    <row r="258" spans="1:8" x14ac:dyDescent="0.3">
      <c r="A258" s="2" t="s">
        <v>99</v>
      </c>
      <c r="B258" s="2" t="s">
        <v>100</v>
      </c>
      <c r="C258" s="2" t="s">
        <v>414</v>
      </c>
      <c r="D258" s="3">
        <v>5524.24</v>
      </c>
      <c r="E258" s="4">
        <v>46048</v>
      </c>
      <c r="F258" s="4">
        <v>46091</v>
      </c>
      <c r="G258" s="5">
        <f>IF(Controls!$B$2&gt;F258,Controls!$B$2-F258,0)</f>
        <v>15</v>
      </c>
      <c r="H258" s="5" t="str">
        <f t="shared" si="3"/>
        <v>0-30</v>
      </c>
    </row>
    <row r="259" spans="1:8" x14ac:dyDescent="0.3">
      <c r="A259" s="2" t="s">
        <v>209</v>
      </c>
      <c r="B259" s="2" t="s">
        <v>210</v>
      </c>
      <c r="C259" s="2" t="s">
        <v>415</v>
      </c>
      <c r="D259" s="3">
        <v>6796.23</v>
      </c>
      <c r="E259" s="4">
        <v>46053</v>
      </c>
      <c r="F259" s="4">
        <v>46076</v>
      </c>
      <c r="G259" s="5">
        <f>IF(Controls!$B$2&gt;F259,Controls!$B$2-F259,0)</f>
        <v>30</v>
      </c>
      <c r="H259" s="5" t="str">
        <f t="shared" ref="H259:H301" si="4">IF(G259&lt;=30,"0-30",IF(G259&lt;=60,"31-60","60+"))</f>
        <v>0-30</v>
      </c>
    </row>
    <row r="260" spans="1:8" x14ac:dyDescent="0.3">
      <c r="A260" s="2" t="s">
        <v>54</v>
      </c>
      <c r="B260" s="2" t="s">
        <v>55</v>
      </c>
      <c r="C260" s="2" t="s">
        <v>416</v>
      </c>
      <c r="D260" s="3">
        <v>11810.58</v>
      </c>
      <c r="E260" s="4">
        <v>46039</v>
      </c>
      <c r="F260" s="4">
        <v>46098</v>
      </c>
      <c r="G260" s="5">
        <f>IF(Controls!$B$2&gt;F260,Controls!$B$2-F260,0)</f>
        <v>8</v>
      </c>
      <c r="H260" s="5" t="str">
        <f t="shared" si="4"/>
        <v>0-30</v>
      </c>
    </row>
    <row r="261" spans="1:8" x14ac:dyDescent="0.3">
      <c r="A261" s="2" t="s">
        <v>71</v>
      </c>
      <c r="B261" s="2" t="s">
        <v>72</v>
      </c>
      <c r="C261" s="2" t="s">
        <v>417</v>
      </c>
      <c r="D261" s="3">
        <v>4324.26</v>
      </c>
      <c r="E261" s="4">
        <v>46025</v>
      </c>
      <c r="F261" s="4">
        <v>46040</v>
      </c>
      <c r="G261" s="5">
        <f>IF(Controls!$B$2&gt;F261,Controls!$B$2-F261,0)</f>
        <v>66</v>
      </c>
      <c r="H261" s="5" t="str">
        <f t="shared" si="4"/>
        <v>60+</v>
      </c>
    </row>
    <row r="262" spans="1:8" x14ac:dyDescent="0.3">
      <c r="A262" s="2" t="s">
        <v>120</v>
      </c>
      <c r="B262" s="2" t="s">
        <v>121</v>
      </c>
      <c r="C262" s="2" t="s">
        <v>418</v>
      </c>
      <c r="D262" s="3">
        <v>11832.02</v>
      </c>
      <c r="E262" s="4">
        <v>46097</v>
      </c>
      <c r="F262" s="4">
        <v>46143</v>
      </c>
      <c r="G262" s="5">
        <f>IF(Controls!$B$2&gt;F262,Controls!$B$2-F262,0)</f>
        <v>0</v>
      </c>
      <c r="H262" s="5" t="str">
        <f t="shared" si="4"/>
        <v>0-30</v>
      </c>
    </row>
    <row r="263" spans="1:8" x14ac:dyDescent="0.3">
      <c r="A263" s="2" t="s">
        <v>22</v>
      </c>
      <c r="B263" s="2" t="s">
        <v>23</v>
      </c>
      <c r="C263" s="2" t="s">
        <v>419</v>
      </c>
      <c r="D263" s="3">
        <v>10615.72</v>
      </c>
      <c r="E263" s="4">
        <v>46054</v>
      </c>
      <c r="F263" s="4">
        <v>46092</v>
      </c>
      <c r="G263" s="5">
        <f>IF(Controls!$B$2&gt;F263,Controls!$B$2-F263,0)</f>
        <v>14</v>
      </c>
      <c r="H263" s="5" t="str">
        <f t="shared" si="4"/>
        <v>0-30</v>
      </c>
    </row>
    <row r="264" spans="1:8" x14ac:dyDescent="0.3">
      <c r="A264" s="2" t="s">
        <v>348</v>
      </c>
      <c r="B264" s="2" t="s">
        <v>349</v>
      </c>
      <c r="C264" s="2" t="s">
        <v>420</v>
      </c>
      <c r="D264" s="3">
        <v>1385.29</v>
      </c>
      <c r="E264" s="4">
        <v>45986</v>
      </c>
      <c r="F264" s="4">
        <v>46022</v>
      </c>
      <c r="G264" s="5">
        <f>IF(Controls!$B$2&gt;F264,Controls!$B$2-F264,0)</f>
        <v>84</v>
      </c>
      <c r="H264" s="5" t="str">
        <f t="shared" si="4"/>
        <v>60+</v>
      </c>
    </row>
    <row r="265" spans="1:8" x14ac:dyDescent="0.3">
      <c r="A265" s="2" t="s">
        <v>159</v>
      </c>
      <c r="B265" s="2" t="s">
        <v>160</v>
      </c>
      <c r="C265" s="2" t="s">
        <v>421</v>
      </c>
      <c r="D265" s="3">
        <v>12245.72</v>
      </c>
      <c r="E265" s="4">
        <v>46023</v>
      </c>
      <c r="F265" s="4">
        <v>46083</v>
      </c>
      <c r="G265" s="5">
        <f>IF(Controls!$B$2&gt;F265,Controls!$B$2-F265,0)</f>
        <v>23</v>
      </c>
      <c r="H265" s="5" t="str">
        <f t="shared" si="4"/>
        <v>0-30</v>
      </c>
    </row>
    <row r="266" spans="1:8" x14ac:dyDescent="0.3">
      <c r="A266" s="2" t="s">
        <v>205</v>
      </c>
      <c r="B266" s="2" t="s">
        <v>206</v>
      </c>
      <c r="C266" s="2" t="s">
        <v>422</v>
      </c>
      <c r="D266" s="3">
        <v>21576.83</v>
      </c>
      <c r="E266" s="4">
        <v>46034</v>
      </c>
      <c r="F266" s="4">
        <v>46070</v>
      </c>
      <c r="G266" s="5">
        <f>IF(Controls!$B$2&gt;F266,Controls!$B$2-F266,0)</f>
        <v>36</v>
      </c>
      <c r="H266" s="5" t="str">
        <f t="shared" si="4"/>
        <v>31-60</v>
      </c>
    </row>
    <row r="267" spans="1:8" x14ac:dyDescent="0.3">
      <c r="A267" s="2" t="s">
        <v>45</v>
      </c>
      <c r="B267" s="2" t="s">
        <v>46</v>
      </c>
      <c r="C267" s="2" t="s">
        <v>423</v>
      </c>
      <c r="D267" s="3">
        <v>13964.61</v>
      </c>
      <c r="E267" s="4">
        <v>45961</v>
      </c>
      <c r="F267" s="4">
        <v>45989</v>
      </c>
      <c r="G267" s="5">
        <f>IF(Controls!$B$2&gt;F267,Controls!$B$2-F267,0)</f>
        <v>117</v>
      </c>
      <c r="H267" s="5" t="str">
        <f t="shared" si="4"/>
        <v>60+</v>
      </c>
    </row>
    <row r="268" spans="1:8" x14ac:dyDescent="0.3">
      <c r="A268" s="2" t="s">
        <v>95</v>
      </c>
      <c r="B268" s="2" t="s">
        <v>96</v>
      </c>
      <c r="C268" s="2" t="s">
        <v>424</v>
      </c>
      <c r="D268" s="3">
        <v>13962.18</v>
      </c>
      <c r="E268" s="4">
        <v>46018</v>
      </c>
      <c r="F268" s="4">
        <v>46064</v>
      </c>
      <c r="G268" s="5">
        <f>IF(Controls!$B$2&gt;F268,Controls!$B$2-F268,0)</f>
        <v>42</v>
      </c>
      <c r="H268" s="5" t="str">
        <f t="shared" si="4"/>
        <v>31-60</v>
      </c>
    </row>
    <row r="269" spans="1:8" x14ac:dyDescent="0.3">
      <c r="A269" s="2" t="s">
        <v>39</v>
      </c>
      <c r="B269" s="2" t="s">
        <v>40</v>
      </c>
      <c r="C269" s="2" t="s">
        <v>425</v>
      </c>
      <c r="D269" s="3">
        <v>21855.88</v>
      </c>
      <c r="E269" s="4">
        <v>46101</v>
      </c>
      <c r="F269" s="4">
        <v>46129</v>
      </c>
      <c r="G269" s="5">
        <f>IF(Controls!$B$2&gt;F269,Controls!$B$2-F269,0)</f>
        <v>0</v>
      </c>
      <c r="H269" s="5" t="str">
        <f t="shared" si="4"/>
        <v>0-30</v>
      </c>
    </row>
    <row r="270" spans="1:8" x14ac:dyDescent="0.3">
      <c r="A270" s="2" t="s">
        <v>13</v>
      </c>
      <c r="B270" s="2" t="s">
        <v>14</v>
      </c>
      <c r="C270" s="2" t="s">
        <v>426</v>
      </c>
      <c r="D270" s="3">
        <v>8098.08</v>
      </c>
      <c r="E270" s="4">
        <v>46055</v>
      </c>
      <c r="F270" s="4">
        <v>46078</v>
      </c>
      <c r="G270" s="5">
        <f>IF(Controls!$B$2&gt;F270,Controls!$B$2-F270,0)</f>
        <v>28</v>
      </c>
      <c r="H270" s="5" t="str">
        <f t="shared" si="4"/>
        <v>0-30</v>
      </c>
    </row>
    <row r="271" spans="1:8" x14ac:dyDescent="0.3">
      <c r="A271" s="2" t="s">
        <v>33</v>
      </c>
      <c r="B271" s="2" t="s">
        <v>34</v>
      </c>
      <c r="C271" s="2" t="s">
        <v>427</v>
      </c>
      <c r="D271" s="3">
        <v>2417.5100000000002</v>
      </c>
      <c r="E271" s="4">
        <v>46069</v>
      </c>
      <c r="F271" s="4">
        <v>46109</v>
      </c>
      <c r="G271" s="5">
        <f>IF(Controls!$B$2&gt;F271,Controls!$B$2-F271,0)</f>
        <v>0</v>
      </c>
      <c r="H271" s="5" t="str">
        <f t="shared" si="4"/>
        <v>0-30</v>
      </c>
    </row>
    <row r="272" spans="1:8" x14ac:dyDescent="0.3">
      <c r="A272" s="2" t="s">
        <v>178</v>
      </c>
      <c r="B272" s="2" t="s">
        <v>179</v>
      </c>
      <c r="C272" s="2" t="s">
        <v>428</v>
      </c>
      <c r="D272" s="3">
        <v>1480.06</v>
      </c>
      <c r="E272" s="4">
        <v>46046</v>
      </c>
      <c r="F272" s="4">
        <v>46067</v>
      </c>
      <c r="G272" s="5">
        <f>IF(Controls!$B$2&gt;F272,Controls!$B$2-F272,0)</f>
        <v>39</v>
      </c>
      <c r="H272" s="5" t="str">
        <f t="shared" si="4"/>
        <v>31-60</v>
      </c>
    </row>
    <row r="273" spans="1:8" x14ac:dyDescent="0.3">
      <c r="A273" s="2" t="s">
        <v>51</v>
      </c>
      <c r="B273" s="2" t="s">
        <v>52</v>
      </c>
      <c r="C273" s="2" t="s">
        <v>429</v>
      </c>
      <c r="D273" s="3">
        <v>12007.56</v>
      </c>
      <c r="E273" s="4">
        <v>46131</v>
      </c>
      <c r="F273" s="4">
        <v>46149</v>
      </c>
      <c r="G273" s="5">
        <f>IF(Controls!$B$2&gt;F273,Controls!$B$2-F273,0)</f>
        <v>0</v>
      </c>
      <c r="H273" s="5" t="str">
        <f t="shared" si="4"/>
        <v>0-30</v>
      </c>
    </row>
    <row r="274" spans="1:8" x14ac:dyDescent="0.3">
      <c r="A274" s="2" t="s">
        <v>375</v>
      </c>
      <c r="B274" s="2" t="s">
        <v>376</v>
      </c>
      <c r="C274" s="2" t="s">
        <v>430</v>
      </c>
      <c r="D274" s="3">
        <v>15513.3</v>
      </c>
      <c r="E274" s="4">
        <v>45967</v>
      </c>
      <c r="F274" s="4">
        <v>46025</v>
      </c>
      <c r="G274" s="5">
        <f>IF(Controls!$B$2&gt;F274,Controls!$B$2-F274,0)</f>
        <v>81</v>
      </c>
      <c r="H274" s="5" t="str">
        <f t="shared" si="4"/>
        <v>60+</v>
      </c>
    </row>
    <row r="275" spans="1:8" x14ac:dyDescent="0.3">
      <c r="A275" s="2" t="s">
        <v>117</v>
      </c>
      <c r="B275" s="2" t="s">
        <v>118</v>
      </c>
      <c r="C275" s="2" t="s">
        <v>431</v>
      </c>
      <c r="D275" s="3">
        <v>2304.33</v>
      </c>
      <c r="E275" s="4">
        <v>46052</v>
      </c>
      <c r="F275" s="4">
        <v>46109</v>
      </c>
      <c r="G275" s="5">
        <f>IF(Controls!$B$2&gt;F275,Controls!$B$2-F275,0)</f>
        <v>0</v>
      </c>
      <c r="H275" s="5" t="str">
        <f t="shared" si="4"/>
        <v>0-30</v>
      </c>
    </row>
    <row r="276" spans="1:8" x14ac:dyDescent="0.3">
      <c r="A276" s="2" t="s">
        <v>270</v>
      </c>
      <c r="B276" s="2" t="s">
        <v>271</v>
      </c>
      <c r="C276" s="2" t="s">
        <v>432</v>
      </c>
      <c r="D276" s="3">
        <v>4737.13</v>
      </c>
      <c r="E276" s="4">
        <v>46071</v>
      </c>
      <c r="F276" s="4">
        <v>46112</v>
      </c>
      <c r="G276" s="5">
        <f>IF(Controls!$B$2&gt;F276,Controls!$B$2-F276,0)</f>
        <v>0</v>
      </c>
      <c r="H276" s="5" t="str">
        <f t="shared" si="4"/>
        <v>0-30</v>
      </c>
    </row>
    <row r="277" spans="1:8" x14ac:dyDescent="0.3">
      <c r="A277" s="2" t="s">
        <v>159</v>
      </c>
      <c r="B277" s="2" t="s">
        <v>160</v>
      </c>
      <c r="C277" s="2" t="s">
        <v>433</v>
      </c>
      <c r="D277" s="3">
        <v>16479.009999999998</v>
      </c>
      <c r="E277" s="4">
        <v>46107</v>
      </c>
      <c r="F277" s="4">
        <v>46130</v>
      </c>
      <c r="G277" s="5">
        <f>IF(Controls!$B$2&gt;F277,Controls!$B$2-F277,0)</f>
        <v>0</v>
      </c>
      <c r="H277" s="5" t="str">
        <f t="shared" si="4"/>
        <v>0-30</v>
      </c>
    </row>
    <row r="278" spans="1:8" x14ac:dyDescent="0.3">
      <c r="A278" s="2" t="s">
        <v>54</v>
      </c>
      <c r="B278" s="2" t="s">
        <v>55</v>
      </c>
      <c r="C278" s="2" t="s">
        <v>434</v>
      </c>
      <c r="D278" s="3">
        <v>21595.65</v>
      </c>
      <c r="E278" s="4">
        <v>46041</v>
      </c>
      <c r="F278" s="4">
        <v>46082</v>
      </c>
      <c r="G278" s="5">
        <f>IF(Controls!$B$2&gt;F278,Controls!$B$2-F278,0)</f>
        <v>24</v>
      </c>
      <c r="H278" s="5" t="str">
        <f t="shared" si="4"/>
        <v>0-30</v>
      </c>
    </row>
    <row r="279" spans="1:8" x14ac:dyDescent="0.3">
      <c r="A279" s="2" t="s">
        <v>78</v>
      </c>
      <c r="B279" s="2" t="s">
        <v>79</v>
      </c>
      <c r="C279" s="2" t="s">
        <v>465</v>
      </c>
      <c r="D279" s="3">
        <v>16133.68</v>
      </c>
      <c r="E279" s="4">
        <v>46047</v>
      </c>
      <c r="F279" s="4">
        <v>46095</v>
      </c>
      <c r="G279" s="5">
        <f>IF(Controls!$B$2&gt;F279,Controls!$B$2-F279,0)</f>
        <v>11</v>
      </c>
      <c r="H279" s="5" t="str">
        <f t="shared" si="4"/>
        <v>0-30</v>
      </c>
    </row>
    <row r="280" spans="1:8" x14ac:dyDescent="0.3">
      <c r="A280" s="2" t="s">
        <v>13</v>
      </c>
      <c r="B280" s="2" t="s">
        <v>14</v>
      </c>
      <c r="C280" s="2" t="s">
        <v>435</v>
      </c>
      <c r="D280" s="3">
        <v>10671.52</v>
      </c>
      <c r="E280" s="4">
        <v>45976</v>
      </c>
      <c r="F280" s="4">
        <v>46016</v>
      </c>
      <c r="G280" s="5">
        <f>IF(Controls!$B$2&gt;F280,Controls!$B$2-F280,0)</f>
        <v>90</v>
      </c>
      <c r="H280" s="5" t="str">
        <f t="shared" si="4"/>
        <v>60+</v>
      </c>
    </row>
    <row r="281" spans="1:8" x14ac:dyDescent="0.3">
      <c r="A281" s="2" t="s">
        <v>341</v>
      </c>
      <c r="B281" s="2" t="s">
        <v>342</v>
      </c>
      <c r="C281" s="2" t="s">
        <v>436</v>
      </c>
      <c r="D281" s="3">
        <v>14948.1</v>
      </c>
      <c r="E281" s="4">
        <v>45997</v>
      </c>
      <c r="F281" s="4">
        <v>46021</v>
      </c>
      <c r="G281" s="5">
        <f>IF(Controls!$B$2&gt;F281,Controls!$B$2-F281,0)</f>
        <v>85</v>
      </c>
      <c r="H281" s="5" t="str">
        <f t="shared" si="4"/>
        <v>60+</v>
      </c>
    </row>
    <row r="282" spans="1:8" x14ac:dyDescent="0.3">
      <c r="A282" s="2" t="s">
        <v>329</v>
      </c>
      <c r="B282" s="2" t="s">
        <v>330</v>
      </c>
      <c r="C282" s="2" t="s">
        <v>437</v>
      </c>
      <c r="D282" s="3">
        <v>2302.39</v>
      </c>
      <c r="E282" s="4">
        <v>46017</v>
      </c>
      <c r="F282" s="4">
        <v>46045</v>
      </c>
      <c r="G282" s="5">
        <f>IF(Controls!$B$2&gt;F282,Controls!$B$2-F282,0)</f>
        <v>61</v>
      </c>
      <c r="H282" s="5" t="str">
        <f t="shared" si="4"/>
        <v>60+</v>
      </c>
    </row>
    <row r="283" spans="1:8" x14ac:dyDescent="0.3">
      <c r="A283" s="2" t="s">
        <v>341</v>
      </c>
      <c r="B283" s="2" t="s">
        <v>342</v>
      </c>
      <c r="C283" s="2" t="s">
        <v>438</v>
      </c>
      <c r="D283" s="3">
        <v>480.85</v>
      </c>
      <c r="E283" s="4">
        <v>46066</v>
      </c>
      <c r="F283" s="4">
        <v>46086</v>
      </c>
      <c r="G283" s="5">
        <f>IF(Controls!$B$2&gt;F283,Controls!$B$2-F283,0)</f>
        <v>20</v>
      </c>
      <c r="H283" s="5" t="str">
        <f t="shared" si="4"/>
        <v>0-30</v>
      </c>
    </row>
    <row r="284" spans="1:8" x14ac:dyDescent="0.3">
      <c r="A284" s="2" t="s">
        <v>13</v>
      </c>
      <c r="B284" s="2" t="s">
        <v>14</v>
      </c>
      <c r="C284" s="2" t="s">
        <v>439</v>
      </c>
      <c r="D284" s="3">
        <v>689.98</v>
      </c>
      <c r="E284" s="4">
        <v>45973</v>
      </c>
      <c r="F284" s="4">
        <v>46024</v>
      </c>
      <c r="G284" s="5">
        <f>IF(Controls!$B$2&gt;F284,Controls!$B$2-F284,0)</f>
        <v>82</v>
      </c>
      <c r="H284" s="5" t="str">
        <f t="shared" si="4"/>
        <v>60+</v>
      </c>
    </row>
    <row r="285" spans="1:8" x14ac:dyDescent="0.3">
      <c r="A285" s="2" t="s">
        <v>145</v>
      </c>
      <c r="B285" s="2" t="s">
        <v>146</v>
      </c>
      <c r="C285" s="2" t="s">
        <v>440</v>
      </c>
      <c r="D285" s="3">
        <v>18669.13</v>
      </c>
      <c r="E285" s="4">
        <v>46035</v>
      </c>
      <c r="F285" s="4">
        <v>46095</v>
      </c>
      <c r="G285" s="5">
        <f>IF(Controls!$B$2&gt;F285,Controls!$B$2-F285,0)</f>
        <v>11</v>
      </c>
      <c r="H285" s="5" t="str">
        <f t="shared" si="4"/>
        <v>0-30</v>
      </c>
    </row>
    <row r="286" spans="1:8" x14ac:dyDescent="0.3">
      <c r="A286" s="2" t="s">
        <v>353</v>
      </c>
      <c r="B286" s="2" t="s">
        <v>354</v>
      </c>
      <c r="C286" s="2" t="s">
        <v>441</v>
      </c>
      <c r="D286" s="3">
        <v>2336.17</v>
      </c>
      <c r="E286" s="4">
        <v>45975</v>
      </c>
      <c r="F286" s="4">
        <v>46025</v>
      </c>
      <c r="G286" s="5">
        <f>IF(Controls!$B$2&gt;F286,Controls!$B$2-F286,0)</f>
        <v>81</v>
      </c>
      <c r="H286" s="5" t="str">
        <f t="shared" si="4"/>
        <v>60+</v>
      </c>
    </row>
    <row r="287" spans="1:8" x14ac:dyDescent="0.3">
      <c r="A287" s="2" t="s">
        <v>152</v>
      </c>
      <c r="B287" s="2" t="s">
        <v>153</v>
      </c>
      <c r="C287" s="2" t="s">
        <v>442</v>
      </c>
      <c r="D287" s="3">
        <v>22277.67</v>
      </c>
      <c r="E287" s="4">
        <v>45971</v>
      </c>
      <c r="F287" s="4">
        <v>45989</v>
      </c>
      <c r="G287" s="5">
        <f>IF(Controls!$B$2&gt;F287,Controls!$B$2-F287,0)</f>
        <v>117</v>
      </c>
      <c r="H287" s="5" t="str">
        <f t="shared" si="4"/>
        <v>60+</v>
      </c>
    </row>
    <row r="288" spans="1:8" x14ac:dyDescent="0.3">
      <c r="A288" s="2" t="s">
        <v>341</v>
      </c>
      <c r="B288" s="2" t="s">
        <v>342</v>
      </c>
      <c r="C288" s="2" t="s">
        <v>443</v>
      </c>
      <c r="D288" s="3">
        <v>22112.47</v>
      </c>
      <c r="E288" s="4">
        <v>45975</v>
      </c>
      <c r="F288" s="4">
        <v>46029</v>
      </c>
      <c r="G288" s="5">
        <f>IF(Controls!$B$2&gt;F288,Controls!$B$2-F288,0)</f>
        <v>77</v>
      </c>
      <c r="H288" s="5" t="str">
        <f t="shared" si="4"/>
        <v>60+</v>
      </c>
    </row>
    <row r="289" spans="1:8" x14ac:dyDescent="0.3">
      <c r="A289" s="2" t="s">
        <v>19</v>
      </c>
      <c r="B289" s="2" t="s">
        <v>20</v>
      </c>
      <c r="C289" s="2" t="s">
        <v>444</v>
      </c>
      <c r="D289" s="3">
        <v>7984.25</v>
      </c>
      <c r="E289" s="4">
        <v>46034</v>
      </c>
      <c r="F289" s="4">
        <v>46080</v>
      </c>
      <c r="G289" s="5">
        <f>IF(Controls!$B$2&gt;F289,Controls!$B$2-F289,0)</f>
        <v>26</v>
      </c>
      <c r="H289" s="5" t="str">
        <f t="shared" si="4"/>
        <v>0-30</v>
      </c>
    </row>
    <row r="290" spans="1:8" x14ac:dyDescent="0.3">
      <c r="A290" s="2" t="s">
        <v>192</v>
      </c>
      <c r="B290" s="2" t="s">
        <v>193</v>
      </c>
      <c r="C290" s="2" t="s">
        <v>445</v>
      </c>
      <c r="D290" s="3">
        <v>14480.34</v>
      </c>
      <c r="E290" s="4">
        <v>46020</v>
      </c>
      <c r="F290" s="4">
        <v>46045</v>
      </c>
      <c r="G290" s="5">
        <f>IF(Controls!$B$2&gt;F290,Controls!$B$2-F290,0)</f>
        <v>61</v>
      </c>
      <c r="H290" s="5" t="str">
        <f t="shared" si="4"/>
        <v>60+</v>
      </c>
    </row>
    <row r="291" spans="1:8" x14ac:dyDescent="0.3">
      <c r="A291" s="2" t="s">
        <v>209</v>
      </c>
      <c r="B291" s="2" t="s">
        <v>210</v>
      </c>
      <c r="C291" s="2" t="s">
        <v>446</v>
      </c>
      <c r="D291" s="3">
        <v>16211</v>
      </c>
      <c r="E291" s="4">
        <v>46005</v>
      </c>
      <c r="F291" s="4">
        <v>46048</v>
      </c>
      <c r="G291" s="5">
        <f>IF(Controls!$B$2&gt;F291,Controls!$B$2-F291,0)</f>
        <v>58</v>
      </c>
      <c r="H291" s="5" t="str">
        <f t="shared" si="4"/>
        <v>31-60</v>
      </c>
    </row>
    <row r="292" spans="1:8" x14ac:dyDescent="0.3">
      <c r="A292" s="2" t="s">
        <v>447</v>
      </c>
      <c r="B292" s="2" t="s">
        <v>448</v>
      </c>
      <c r="C292" s="2" t="s">
        <v>449</v>
      </c>
      <c r="D292" s="3">
        <v>7177.7</v>
      </c>
      <c r="E292" s="4">
        <v>45981</v>
      </c>
      <c r="F292" s="4">
        <v>46037</v>
      </c>
      <c r="G292" s="5">
        <f>IF(Controls!$B$2&gt;F292,Controls!$B$2-F292,0)</f>
        <v>69</v>
      </c>
      <c r="H292" s="5" t="str">
        <f t="shared" si="4"/>
        <v>60+</v>
      </c>
    </row>
    <row r="293" spans="1:8" x14ac:dyDescent="0.3">
      <c r="A293" s="2" t="s">
        <v>117</v>
      </c>
      <c r="B293" s="2" t="s">
        <v>118</v>
      </c>
      <c r="C293" s="2" t="s">
        <v>450</v>
      </c>
      <c r="D293" s="3">
        <v>15244.12</v>
      </c>
      <c r="E293" s="4">
        <v>46091</v>
      </c>
      <c r="F293" s="4">
        <v>46115</v>
      </c>
      <c r="G293" s="5">
        <f>IF(Controls!$B$2&gt;F293,Controls!$B$2-F293,0)</f>
        <v>0</v>
      </c>
      <c r="H293" s="5" t="str">
        <f t="shared" si="4"/>
        <v>0-30</v>
      </c>
    </row>
    <row r="294" spans="1:8" x14ac:dyDescent="0.3">
      <c r="A294" s="2" t="s">
        <v>117</v>
      </c>
      <c r="B294" s="2" t="s">
        <v>118</v>
      </c>
      <c r="C294" s="2" t="s">
        <v>451</v>
      </c>
      <c r="D294" s="3">
        <v>14720.54</v>
      </c>
      <c r="E294" s="4">
        <v>46083</v>
      </c>
      <c r="F294" s="4">
        <v>46122</v>
      </c>
      <c r="G294" s="5">
        <f>IF(Controls!$B$2&gt;F294,Controls!$B$2-F294,0)</f>
        <v>0</v>
      </c>
      <c r="H294" s="5" t="str">
        <f t="shared" si="4"/>
        <v>0-30</v>
      </c>
    </row>
    <row r="295" spans="1:8" x14ac:dyDescent="0.3">
      <c r="A295" s="2" t="s">
        <v>142</v>
      </c>
      <c r="B295" s="2" t="s">
        <v>143</v>
      </c>
      <c r="C295" s="2" t="s">
        <v>452</v>
      </c>
      <c r="D295" s="3">
        <v>22428.87</v>
      </c>
      <c r="E295" s="4">
        <v>45959</v>
      </c>
      <c r="F295" s="4">
        <v>46002</v>
      </c>
      <c r="G295" s="5">
        <f>IF(Controls!$B$2&gt;F295,Controls!$B$2-F295,0)</f>
        <v>104</v>
      </c>
      <c r="H295" s="5" t="str">
        <f t="shared" si="4"/>
        <v>60+</v>
      </c>
    </row>
    <row r="296" spans="1:8" x14ac:dyDescent="0.3">
      <c r="A296" s="2" t="s">
        <v>366</v>
      </c>
      <c r="B296" s="2" t="s">
        <v>367</v>
      </c>
      <c r="C296" s="2" t="s">
        <v>453</v>
      </c>
      <c r="D296" s="3">
        <v>6883.57</v>
      </c>
      <c r="E296" s="4">
        <v>46044</v>
      </c>
      <c r="F296" s="4">
        <v>46096</v>
      </c>
      <c r="G296" s="5">
        <f>IF(Controls!$B$2&gt;F296,Controls!$B$2-F296,0)</f>
        <v>10</v>
      </c>
      <c r="H296" s="5" t="str">
        <f t="shared" si="4"/>
        <v>0-30</v>
      </c>
    </row>
    <row r="297" spans="1:8" x14ac:dyDescent="0.3">
      <c r="A297" s="2" t="s">
        <v>136</v>
      </c>
      <c r="B297" s="2" t="s">
        <v>137</v>
      </c>
      <c r="C297" s="2" t="s">
        <v>454</v>
      </c>
      <c r="D297" s="3">
        <v>3731.58</v>
      </c>
      <c r="E297" s="4">
        <v>46019</v>
      </c>
      <c r="F297" s="4">
        <v>46043</v>
      </c>
      <c r="G297" s="5">
        <f>IF(Controls!$B$2&gt;F297,Controls!$B$2-F297,0)</f>
        <v>63</v>
      </c>
      <c r="H297" s="5" t="str">
        <f t="shared" si="4"/>
        <v>60+</v>
      </c>
    </row>
    <row r="298" spans="1:8" x14ac:dyDescent="0.3">
      <c r="A298" s="2" t="s">
        <v>86</v>
      </c>
      <c r="B298" s="2" t="s">
        <v>87</v>
      </c>
      <c r="C298" s="2" t="s">
        <v>455</v>
      </c>
      <c r="D298" s="3">
        <v>19982.18</v>
      </c>
      <c r="E298" s="4">
        <v>46084</v>
      </c>
      <c r="F298" s="4">
        <v>46142</v>
      </c>
      <c r="G298" s="5">
        <f>IF(Controls!$B$2&gt;F298,Controls!$B$2-F298,0)</f>
        <v>0</v>
      </c>
      <c r="H298" s="5" t="str">
        <f t="shared" si="4"/>
        <v>0-30</v>
      </c>
    </row>
    <row r="299" spans="1:8" x14ac:dyDescent="0.3">
      <c r="A299" s="2" t="s">
        <v>109</v>
      </c>
      <c r="B299" s="2" t="s">
        <v>110</v>
      </c>
      <c r="C299" s="2" t="s">
        <v>456</v>
      </c>
      <c r="D299" s="3">
        <v>2355.3200000000002</v>
      </c>
      <c r="E299" s="4">
        <v>46000</v>
      </c>
      <c r="F299" s="4">
        <v>46046</v>
      </c>
      <c r="G299" s="5">
        <f>IF(Controls!$B$2&gt;F299,Controls!$B$2-F299,0)</f>
        <v>60</v>
      </c>
      <c r="H299" s="5" t="str">
        <f t="shared" si="4"/>
        <v>31-60</v>
      </c>
    </row>
    <row r="300" spans="1:8" x14ac:dyDescent="0.3">
      <c r="A300" s="2" t="s">
        <v>142</v>
      </c>
      <c r="B300" s="2" t="s">
        <v>143</v>
      </c>
      <c r="C300" s="2" t="s">
        <v>466</v>
      </c>
      <c r="D300" s="3">
        <v>18817.060000000001</v>
      </c>
      <c r="E300" s="4">
        <v>46053</v>
      </c>
      <c r="F300" s="4">
        <v>46087</v>
      </c>
      <c r="G300" s="5">
        <f>IF(Controls!$B$2&gt;F300,Controls!$B$2-F300,0)</f>
        <v>19</v>
      </c>
      <c r="H300" s="5" t="str">
        <f t="shared" si="4"/>
        <v>0-30</v>
      </c>
    </row>
    <row r="301" spans="1:8" x14ac:dyDescent="0.3">
      <c r="A301" s="2" t="s">
        <v>251</v>
      </c>
      <c r="B301" s="2" t="s">
        <v>252</v>
      </c>
      <c r="C301" s="2" t="s">
        <v>457</v>
      </c>
      <c r="D301" s="3">
        <v>10038.52</v>
      </c>
      <c r="E301" s="4">
        <v>45998</v>
      </c>
      <c r="F301" s="4">
        <v>46026</v>
      </c>
      <c r="G301" s="5">
        <f>IF(Controls!$B$2&gt;F301,Controls!$B$2-F301,0)</f>
        <v>80</v>
      </c>
      <c r="H301" s="5" t="str">
        <f t="shared" si="4"/>
        <v>60+</v>
      </c>
    </row>
  </sheetData>
  <autoFilter ref="A1:H1" xr:uid="{00000000-0001-0000-0000-000000000000}"/>
  <conditionalFormatting sqref="H2:H301">
    <cfRule type="expression" dxfId="2" priority="4">
      <formula>$H2="60+"</formula>
    </cfRule>
    <cfRule type="expression" dxfId="1" priority="5">
      <formula>$H2="31-60"</formula>
    </cfRule>
    <cfRule type="expression" dxfId="0" priority="6">
      <formula>$H2="0-30"</formula>
    </cfRule>
  </conditionalFormatting>
  <hyperlinks>
    <hyperlink ref="B2" r:id="rId1" xr:uid="{7D1F69BA-70B2-4887-A045-0D47FA4ECB61}"/>
  </hyperlinks>
  <pageMargins left="0.7" right="0.7" top="0.75" bottom="0.75" header="0.3" footer="0.3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Normal="100" zoomScaleSheetLayoutView="100" workbookViewId="0"/>
  </sheetViews>
  <sheetFormatPr defaultRowHeight="14.4" x14ac:dyDescent="0.3"/>
  <cols>
    <col min="1" max="1" width="18" customWidth="1"/>
    <col min="2" max="2" width="40" customWidth="1"/>
  </cols>
  <sheetData>
    <row r="1" spans="1:2" x14ac:dyDescent="0.3">
      <c r="A1" s="6" t="s">
        <v>458</v>
      </c>
      <c r="B1" s="6" t="s">
        <v>459</v>
      </c>
    </row>
    <row r="2" spans="1:2" x14ac:dyDescent="0.3">
      <c r="A2" s="6" t="s">
        <v>460</v>
      </c>
      <c r="B2" s="7">
        <v>46106</v>
      </c>
    </row>
    <row r="4" spans="1:2" x14ac:dyDescent="0.3">
      <c r="A4" s="6" t="s">
        <v>461</v>
      </c>
      <c r="B4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AR_Data</vt:lpstr>
      <vt:lpstr>Controls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Hirushiharan Thevendran</cp:lastModifiedBy>
  <cp:revision/>
  <dcterms:created xsi:type="dcterms:W3CDTF">2026-03-25T07:01:07Z</dcterms:created>
  <dcterms:modified xsi:type="dcterms:W3CDTF">2026-05-09T06:28:18Z</dcterms:modified>
  <cp:category/>
  <cp:contentStatus/>
</cp:coreProperties>
</file>